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Data Science\B.Sc\2nd Year\Semester 4\Internship\Dharati Dhan Competitor Intelligence Research Task\"/>
    </mc:Choice>
  </mc:AlternateContent>
  <bookViews>
    <workbookView xWindow="0" yWindow="0" windowWidth="23040" windowHeight="9192"/>
  </bookViews>
  <sheets>
    <sheet name="Master Competitor Matrix" sheetId="1" r:id="rId1"/>
    <sheet name="Project Tracker" sheetId="2" r:id="rId2"/>
    <sheet name="Daily Reporting" sheetId="3" r:id="rId3"/>
    <sheet name="Hold for Review" sheetId="4" r:id="rId4"/>
    <sheet name="Summary" sheetId="5" r:id="rId5"/>
  </sheets>
  <calcPr calcId="162913"/>
</workbook>
</file>

<file path=xl/calcChain.xml><?xml version="1.0" encoding="utf-8"?>
<calcChain xmlns="http://schemas.openxmlformats.org/spreadsheetml/2006/main">
  <c r="B7" i="5" l="1"/>
  <c r="C7" i="5" s="1"/>
  <c r="B6" i="5"/>
  <c r="C6" i="5" s="1"/>
  <c r="B5" i="5"/>
  <c r="B4" i="5"/>
  <c r="C4" i="5" s="1"/>
  <c r="B3" i="5"/>
  <c r="B2" i="5"/>
  <c r="C2" i="5" s="1"/>
  <c r="BD99" i="1"/>
  <c r="BD98" i="1"/>
  <c r="BD97" i="1"/>
  <c r="BD96" i="1"/>
  <c r="BD95" i="1"/>
  <c r="BD94" i="1"/>
  <c r="BD93" i="1"/>
  <c r="BD92" i="1"/>
  <c r="BD91" i="1"/>
  <c r="BD90" i="1"/>
  <c r="BD89" i="1"/>
  <c r="BD88" i="1"/>
  <c r="BD87" i="1"/>
  <c r="BD86" i="1"/>
  <c r="BD85" i="1"/>
  <c r="BD84" i="1"/>
  <c r="BD83" i="1"/>
  <c r="BD82" i="1"/>
  <c r="BD81" i="1"/>
  <c r="BD80" i="1"/>
  <c r="BD79" i="1"/>
  <c r="BD78" i="1"/>
  <c r="BD77" i="1"/>
  <c r="BD76" i="1"/>
  <c r="BD75" i="1"/>
  <c r="BD74" i="1"/>
  <c r="BD73" i="1"/>
  <c r="BD72" i="1"/>
  <c r="BD71" i="1"/>
  <c r="BD70" i="1"/>
  <c r="BD69" i="1"/>
  <c r="BD68" i="1"/>
  <c r="BD67" i="1"/>
  <c r="BD66" i="1"/>
  <c r="BD65" i="1"/>
  <c r="BD64" i="1"/>
  <c r="BD63" i="1"/>
  <c r="BD62" i="1"/>
  <c r="BD61" i="1"/>
  <c r="BD60" i="1"/>
  <c r="BD59" i="1"/>
  <c r="BD58" i="1"/>
  <c r="BD57" i="1"/>
  <c r="BD56" i="1"/>
  <c r="BD55" i="1"/>
  <c r="BD54" i="1"/>
  <c r="BD53" i="1"/>
  <c r="BD52" i="1"/>
  <c r="BD51" i="1"/>
  <c r="BD50" i="1"/>
  <c r="C3" i="5" l="1"/>
  <c r="C5" i="5"/>
</calcChain>
</file>

<file path=xl/sharedStrings.xml><?xml version="1.0" encoding="utf-8"?>
<sst xmlns="http://schemas.openxmlformats.org/spreadsheetml/2006/main" count="3446" uniqueCount="720">
  <si>
    <t>Competitor Name</t>
  </si>
  <si>
    <t>Trading Name</t>
  </si>
  <si>
    <t>Category</t>
  </si>
  <si>
    <t>Address</t>
  </si>
  <si>
    <t>Locality</t>
  </si>
  <si>
    <t>Contact Number</t>
  </si>
  <si>
    <t>Source Link</t>
  </si>
  <si>
    <t>Relevant Categories</t>
  </si>
  <si>
    <t>Product Overlap</t>
  </si>
  <si>
    <t>Competitor Type</t>
  </si>
  <si>
    <t>Include / Exclude / Hold</t>
  </si>
  <si>
    <t>Seeds</t>
  </si>
  <si>
    <t>Fertilizers</t>
  </si>
  <si>
    <t>Pesticides</t>
  </si>
  <si>
    <t>Sprayers</t>
  </si>
  <si>
    <t>Tools</t>
  </si>
  <si>
    <t>Irrigation</t>
  </si>
  <si>
    <t>Urban Gardening</t>
  </si>
  <si>
    <t>Terrace Farming</t>
  </si>
  <si>
    <t>Organic/Bio Inputs</t>
  </si>
  <si>
    <t>Accessories</t>
  </si>
  <si>
    <t>Product Portfolio Depth</t>
  </si>
  <si>
    <t>Google Listing</t>
  </si>
  <si>
    <t>Google Rating</t>
  </si>
  <si>
    <t>Google Reviews</t>
  </si>
  <si>
    <t>Google Photos</t>
  </si>
  <si>
    <t>Business Hours</t>
  </si>
  <si>
    <t>Website</t>
  </si>
  <si>
    <t>Website Type</t>
  </si>
  <si>
    <t>Website Mobile Friendly</t>
  </si>
  <si>
    <t>IndiaMART</t>
  </si>
  <si>
    <t>Justdial</t>
  </si>
  <si>
    <t>TradeIndia</t>
  </si>
  <si>
    <t>Sulekha</t>
  </si>
  <si>
    <t>Facebook</t>
  </si>
  <si>
    <t>Instagram</t>
  </si>
  <si>
    <t>LinkedIn</t>
  </si>
  <si>
    <t>YouTube Channel</t>
  </si>
  <si>
    <t>YouTube Subscribers</t>
  </si>
  <si>
    <t>YouTube Content Type</t>
  </si>
  <si>
    <t>YouTube Videos</t>
  </si>
  <si>
    <t>Last Upload</t>
  </si>
  <si>
    <t>Average Views</t>
  </si>
  <si>
    <t>WhatsApp Business</t>
  </si>
  <si>
    <t>WhatsApp Catalogue</t>
  </si>
  <si>
    <t>Amazon</t>
  </si>
  <si>
    <t>Flipkart</t>
  </si>
  <si>
    <t>Website Pricing Visible</t>
  </si>
  <si>
    <t>Website Enquiry Form</t>
  </si>
  <si>
    <t>Website Cart/Payment</t>
  </si>
  <si>
    <t>Content Strategy</t>
  </si>
  <si>
    <t>Service Model</t>
  </si>
  <si>
    <t>Review Sentiment</t>
  </si>
  <si>
    <t>Innovation</t>
  </si>
  <si>
    <t>Threat Score</t>
  </si>
  <si>
    <t>Threat Classification</t>
  </si>
  <si>
    <t>Opportunity for Dharati Dhan</t>
  </si>
  <si>
    <t>Evidence / Source Notes</t>
  </si>
  <si>
    <t>Priya Agrico</t>
  </si>
  <si>
    <t>Agricultural Product Wholesaler</t>
  </si>
  <si>
    <t>Shop No 1-2, LG, Priya Agrico, near SBI Kutchery, Ahirtoli, Ranchi, Jharkhand 834001</t>
  </si>
  <si>
    <t>Ahirtoli</t>
  </si>
  <si>
    <t>09431338877 / 9431335577</t>
  </si>
  <si>
    <t>https://maps.app.goo.gl/uDhjbAgTPSph5JvX7</t>
  </si>
  <si>
    <t>Seeds, Pesticides, Sprayers, Machinery, Fertilizers, Gardening Items, Nursery Items, Pest Control</t>
  </si>
  <si>
    <t>High</t>
  </si>
  <si>
    <t>Direct Competitor</t>
  </si>
  <si>
    <t>Include</t>
  </si>
  <si>
    <t>Yes</t>
  </si>
  <si>
    <t>No</t>
  </si>
  <si>
    <t>Broad</t>
  </si>
  <si>
    <t>Approx. 9 hrs/day; exact open-close timing not verified</t>
  </si>
  <si>
    <t>https://www.priyaagrico.com/</t>
  </si>
  <si>
    <t>Informational Website</t>
  </si>
  <si>
    <t>Not Found</t>
  </si>
  <si>
    <t>https://www.facebook.com/PRIYAAGRICO/</t>
  </si>
  <si>
    <t>https://www.instagram.com/priyaagrico/</t>
  </si>
  <si>
    <t>https://www.youtube.com/@priyaagrico7763</t>
  </si>
  <si>
    <t>Promotional</t>
  </si>
  <si>
    <t>Product showcase, product categories, brand promotion, farming inputs, featured products, company information</t>
  </si>
  <si>
    <t>Strong Competitor</t>
  </si>
  <si>
    <t>Deep product portfolio but lacks a WhatsApp catalogue or functional e-commerce cart. We can exploit this gap by offering seamless online ordering, transparent pricing, and farm-gate delivery.</t>
  </si>
  <si>
    <t>Google rating 4.5 confirmed; verified product lines include seeds, pesticides, fertilizers, sprayers, foggers, gardening tools and farm machinery. Facebook, Justdial, IndiaMART and official website visibility available.</t>
  </si>
  <si>
    <t>Agro Vision</t>
  </si>
  <si>
    <t>Agricultural machinery manufacturer</t>
  </si>
  <si>
    <t>Prasad Sadan, Purulia Road, Ranchi, Jharkhand 834001</t>
  </si>
  <si>
    <t>Purulia Road</t>
  </si>
  <si>
    <t>09334726481 / 9905698822</t>
  </si>
  <si>
    <t>https://maps.app.goo.gl/Pre4MhswH2C7MGK38</t>
  </si>
  <si>
    <t>Agriculture equipment, Farm implements, Agricultural tools and hand tools, Ancillary agriculture equipment and accessories</t>
  </si>
  <si>
    <t>Low</t>
  </si>
  <si>
    <t>Indirect Competitor</t>
  </si>
  <si>
    <t>Narrow</t>
  </si>
  <si>
    <t>Approx. 7 hrs/day; exact open-close timing not verified</t>
  </si>
  <si>
    <t>http://www.agro-vision.in/</t>
  </si>
  <si>
    <t>Product Catalogue / Corporate Brochure</t>
  </si>
  <si>
    <t>Product catalogue, farm mechanization, agricultural equipment promotion</t>
  </si>
  <si>
    <t>Moderate Competitor</t>
  </si>
  <si>
    <t>Justdial and ExportersIndia-style supplier visibility available; website has product catalogue and quote/request functionality but no cart or online checkout.</t>
  </si>
  <si>
    <t>Perfect Agro Solutions</t>
  </si>
  <si>
    <t>Agricultural Seed Store</t>
  </si>
  <si>
    <t>vikas near Bank of india, near bank of india, Neuri Vikas, Neori, vikas, Jharkhand 835217</t>
  </si>
  <si>
    <t>Neuri Vikas</t>
  </si>
  <si>
    <t>https://maps.app.goo.gl/afxL3WPaxhxBBpGbA</t>
  </si>
  <si>
    <t>Agricultural Equipment, Farm Machinery, Power Weeders, Seeds, Fertilizers, Pesticides</t>
  </si>
  <si>
    <t>Open 24 hours / exact schedule not verified</t>
  </si>
  <si>
    <t>https://www.facebook.com/perfectagrosolutions/</t>
  </si>
  <si>
    <t>Not Applicable</t>
  </si>
  <si>
    <t>No active content channels identified</t>
  </si>
  <si>
    <t>TradeIndia listing showing supplier profile and WhatsApp inquiry option.</t>
  </si>
  <si>
    <t>Dharti Dhan Agri Polyclinic</t>
  </si>
  <si>
    <t>Farm equipment supplier</t>
  </si>
  <si>
    <t>Shop No. 07, Court Compound, Kutchery Chowk, Deputy Para, Ahirtoli, Ranchi, Jharkhand 834001</t>
  </si>
  <si>
    <t>https://maps.app.goo.gl/9syzviLo9aLedeid6</t>
  </si>
  <si>
    <t>Sprayers, Irrigation products, Agricultural tools, Ancillary accessories</t>
  </si>
  <si>
    <t>Medium</t>
  </si>
  <si>
    <t>Approx. 8.5 hrs/day; exact open-close timing not verified</t>
  </si>
  <si>
    <t>https://www.facebook.com/dhartidhan0/reels/</t>
  </si>
  <si>
    <t>Directory listings, product promotion, business visibility through B2B platforms</t>
  </si>
  <si>
    <t>Weak Competitor</t>
  </si>
  <si>
    <t>ExportersIndia product listings available.</t>
  </si>
  <si>
    <t>New Holland - Ritesh Agro</t>
  </si>
  <si>
    <t>Tractor dealer</t>
  </si>
  <si>
    <t>Ground Floor, near Lala Lajpat Rai School, Lajpat Nagar, Jaganathpur, Pundag, Ranchi, Jharkhand 834004</t>
  </si>
  <si>
    <t>Pundag</t>
  </si>
  <si>
    <t>https://maps.app.goo.gl/47uygaktcP2usXRU7</t>
  </si>
  <si>
    <t>Farm Machinery, Agricultural Equipment (Tractors)</t>
  </si>
  <si>
    <t>Excluded</t>
  </si>
  <si>
    <t>Exclude</t>
  </si>
  <si>
    <t>Approx. 10 hrs/day; exact open-close timing not verified</t>
  </si>
  <si>
    <t>No active Dharati Dhan-relevant content strategy identified</t>
  </si>
  <si>
    <t>Exclude — tractor-only dealer; no verified Dharati Dhan-relevant sprayers, tools, irrigation, seeds, fertilizers, pesticides, urban gardening, terrace farming, or organic/bio input overlap.</t>
  </si>
  <si>
    <t>Jharkhand Agri Centre</t>
  </si>
  <si>
    <t>Shop no. 1, Dream Complex, Court compound, Kutchery Rd, Ahirtoli, Ranchi, Jharkhand 834001</t>
  </si>
  <si>
    <t>Court compound</t>
  </si>
  <si>
    <t>https://www.justdial.com/Ranchi/Jharkhand-Agri-Centre-Opposite-To-Sbi-Bank-Circular-Road/0651PX651-X651-190701115537-U6Q8_BZDET</t>
  </si>
  <si>
    <t>Seeds, Fertilizers, Organic and bio inputs, Urban gardening products, Sprayers</t>
  </si>
  <si>
    <t>Approx. 8 hrs/day; exact open-close timing not verified</t>
  </si>
  <si>
    <t>No active content strategy identified</t>
  </si>
  <si>
    <t>Not found</t>
  </si>
  <si>
    <t>Neha Tractors</t>
  </si>
  <si>
    <t>Ratu Rd, near Bank of Baroda, Aryapuri, Indrapuri Colony, Ranchi, Jharkhand 834001</t>
  </si>
  <si>
    <t>Aryapuri</t>
  </si>
  <si>
    <t>https://maps.app.goo.gl/t89xScoaymp3juDE6</t>
  </si>
  <si>
    <t>Agriculture equipment, Farm implements, Ancillary agriculture equipment and accessories</t>
  </si>
  <si>
    <t>Low Relevance Competitor</t>
  </si>
  <si>
    <t>Approx. 9.5 hrs/day; exact open-close timing not verified</t>
  </si>
  <si>
    <t>https://www.facebook.com/nehatractorsranchi/</t>
  </si>
  <si>
    <t>https://www.instagram.com/nehatractors/</t>
  </si>
  <si>
    <t>https://www.youtube.com/@nehatractors9687</t>
  </si>
  <si>
    <t>4.4K</t>
  </si>
  <si>
    <t>Agricultural information</t>
  </si>
  <si>
    <t>177K</t>
  </si>
  <si>
    <t>Facebook/Instagram/YouTube visibility for tractor parts, implements, accessories, and machinery promotion</t>
  </si>
  <si>
    <t>Limited tractor dealership/service support; direct Dharati Dhan-type input retail not verified</t>
  </si>
  <si>
    <t>Moderate Google rating; narrow product relevance</t>
  </si>
  <si>
    <t>Low — tractor/implements-linked visibility only; no verified seeds, fertilizers, pesticides, sprayers, irrigation, or gardening product strength</t>
  </si>
  <si>
    <t>Low-priority monitoring; Dharati Dhan can differentiate through consumable agri-inputs, sprayers, irrigation accessories, WhatsApp catalogue, and local advisory service</t>
  </si>
  <si>
    <t>Retained as low relevance competitor because farm implements/accessories overlap appears possible; no independent working website verified.</t>
  </si>
  <si>
    <t>Hi Tech Tractor</t>
  </si>
  <si>
    <t>45, Garikhana, Harmu Bypass Road, Near SHYAM MANDIR, M- 9934107861, Ranchi, Jharkhand 834001</t>
  </si>
  <si>
    <t>Harmu Bypass Road</t>
  </si>
  <si>
    <t>https://maps.app.goo.gl/UjvFENZSvNSGLCTr6</t>
  </si>
  <si>
    <t>https://www.facebook.com/hitechjohndeere/</t>
  </si>
  <si>
    <t>https://www.instagram.com/hitechtractors45/</t>
  </si>
  <si>
    <t>Facebook/Instagram visibility for tractor demos, dealership promotion, machinery, and implement-related content</t>
  </si>
  <si>
    <t>Limited dealership/service support; direct Dharati Dhan-type agri-input retail not verified</t>
  </si>
  <si>
    <t>Good Google rating; narrow agriculture input overlap</t>
  </si>
  <si>
    <t>Low to moderate — tractor/implements-linked competitor with platform visibility but no verified independent e-commerce</t>
  </si>
  <si>
    <t>Monitor as an implements-linked competitor; Dharati Dhan can differentiate through consumable agri-inputs, sprayers, irrigation accessories, transparent pricing, and WhatsApp catalogue</t>
  </si>
  <si>
    <t>IndiaMART and Justdial listings available; no independent working website/e-commerce verified. Retained as low relevance competitor due to possible implements/accessories overlap.</t>
  </si>
  <si>
    <t>Mahindra Tractors - The Republic Pvt Ltd</t>
  </si>
  <si>
    <t>Ranchi Hazaribagh Road, opposite Reliance Fresh, Upper Bazar, Ranchi, Jharkhand 834009</t>
  </si>
  <si>
    <t>Upper Bazar</t>
  </si>
  <si>
    <t>9334111045 / 08037014299</t>
  </si>
  <si>
    <t>https://maps.app.goo.gl/8AkYp7zWV17CaWAC8</t>
  </si>
  <si>
    <t>Agriculture equipment, Farm implements, Rotary Tillers, Ploughs, Tractors</t>
  </si>
  <si>
    <t>https://dealer.mahindratractor.com/mahindra-tractors/tractor-showroom-in-ranchi/tractor-showroom-in-upper-bazar/mahindra-tractors-the-republic-private-limited-in-upper-bazar-ranchi--b8038398-f304-4cb2-ac94-47a92ccb46e6/home</t>
  </si>
  <si>
    <t>Official Brand Dealer Page</t>
  </si>
  <si>
    <t>https://www.facebook.com/TheRepublicPrivateLimited/</t>
  </si>
  <si>
    <t>Official Mahindra dealer page, tractor/farm-equipment showroom listing, request-a-call lead generation, dealer/Facebook brand promotion</t>
  </si>
  <si>
    <t>Authorised Mahindra tractor dealership; tractor and implements-linked sales/service; direct Dharati Dhan-type input retail not verified</t>
  </si>
  <si>
    <t>Good public rating and brand trust, but product overlap is limited to tractors/farm implements</t>
  </si>
  <si>
    <t>Low to moderate — strong brand/dealer presence but no verified e-commerce/cart or consumable agri-input catalogue</t>
  </si>
  <si>
    <t>Focuses mainly on tractors and heavy farm equipment; Dharati Dhan can compete in fast-moving seeds, fertilizers, pesticides, sprayers, irrigation accessories, WhatsApp catalogue, and local advisory service</t>
  </si>
  <si>
    <t>Official Mahindra dealer page confirms authorised The Republic Private Limited showroom in Upper Bazar/Ranchi with Hazaribagh Road address, request-a-call function and phone 08037014299; Facebook page confirms Mahindra dealership presence. Retained as moderate low-relevance competitor because overlap is limited to tractors/farm implements rather than Dharati Dhan core agri inputs.</t>
  </si>
  <si>
    <t>M.B. Pumps &amp; Machinery</t>
  </si>
  <si>
    <t>Fire protection equipment supplier</t>
  </si>
  <si>
    <t>D-252, Church Rd, Lower Bazaar, Ranchi, Jharkhand 834001</t>
  </si>
  <si>
    <t>Lower Bazaar</t>
  </si>
  <si>
    <t>https://www.justdial.com/Ranchi/M-B-Pumps-Machinery-Lower-Bazar/0651PX651-X651-220521210759-A7P7_BZDET</t>
  </si>
  <si>
    <t>Irrigation products: drip, sprinkler, pipes, fittings, accessories, Agriculture equipment</t>
  </si>
  <si>
    <t>https://jsdl.in/DT-51PUVRLZSRH</t>
  </si>
  <si>
    <t>KV Sales &amp; Marketing Pvt Ltd</t>
  </si>
  <si>
    <t>Fertilizer Store</t>
  </si>
  <si>
    <t>Sonamati Palace, Court Compound, near Hotel Sunraj Residency, Ranchi, Jharkhand 834001</t>
  </si>
  <si>
    <t>Court Compound</t>
  </si>
  <si>
    <t>https://maps.app.goo.gl/VeqhdyH9sigYEWtw8</t>
  </si>
  <si>
    <t>Fertilizers, Organic and Bio Inputs</t>
  </si>
  <si>
    <t>Hold for Review</t>
  </si>
  <si>
    <t>Monitor operational status; potential to acquire local fertilizer customers if outlet remains inactive.</t>
  </si>
  <si>
    <t>Google Maps verified; MCA/GST company records found; Justdial listing (Closed Down); no website/social media; operational status not independently verified.</t>
  </si>
  <si>
    <t>Eicher Tractors Dealerships - Bharat Agencies</t>
  </si>
  <si>
    <t>Bagicha, Tilta Opp. Tender, Kathitand, Ratu, Ranchi, Jharkhand 835222</t>
  </si>
  <si>
    <t>Kathitand</t>
  </si>
  <si>
    <t>https://maps.app.goo.gl/dKriBHuvxPGhyP2j6</t>
  </si>
  <si>
    <t>Agriculture equipment, Farm implements, Heavy Cultivators</t>
  </si>
  <si>
    <t>Approx. 13 hrs/day; exact open-close timing not verified</t>
  </si>
  <si>
    <t>Tractor dealership and implements-linked visibility through listing platforms; no independent digital content strategy verified</t>
  </si>
  <si>
    <t>Limited tractor dealership/service support; direct agri-input retail not verified</t>
  </si>
  <si>
    <t>Low review volume; weak public sentiment base</t>
  </si>
  <si>
    <t>Low — tractor/implements-linked relevance only; no verified seeds, fertilizers, pesticides, sprayers, irrigation, or gardening product strength</t>
  </si>
  <si>
    <t>Low-priority monitoring; Dharati Dhan can differentiate through daily-use agri inputs, sprayers, irrigation accessories, local advisory, and faster retail service</t>
  </si>
  <si>
    <t>Justdial/IndiaMART-type listing visibility available; no independent working website/e-commerce verified. Retained as low relevance competitor only due to possible implements/accessories overlap.</t>
  </si>
  <si>
    <t>Green Centre</t>
  </si>
  <si>
    <t>COURT COMPOUND, 1.R.I.T COMPLEX, Kutchery Chowk, opp. Hotel Raj Residence, Ahirtoli, Ranchi, Jharkhand 834001</t>
  </si>
  <si>
    <t>08401431146 / 9523172717</t>
  </si>
  <si>
    <t>https://maps.app.goo.gl/sXvzGzm7aHzHm3Um7</t>
  </si>
  <si>
    <t>Seeds, Fertilizers, Pesticides, herbicides, fungicides, crop protection products</t>
  </si>
  <si>
    <t>Opens at 09:30 AM; closing not verified</t>
  </si>
  <si>
    <t>https://www.facebook.com/greencentre.in/</t>
  </si>
  <si>
    <t>Justdial and Facebook visibility for agricultural inputs; no verified website or e-commerce content</t>
  </si>
  <si>
    <t>Retail agricultural input shop; customer enquiry through Justdial/WhatsApp</t>
  </si>
  <si>
    <t>Limited public review data; moderate local trust based on Google rating</t>
  </si>
  <si>
    <t>Low — traditional agri-input retail; no verified e-commerce/catalogue innovation</t>
  </si>
  <si>
    <t>Opportunity to beat through verified website, WhatsApp catalogue, transparent pricing, and seasonal product bundles</t>
  </si>
  <si>
    <t>Justdial confirms Green Centre at 1 RIT Complex, Kutchery Chowk with contact 08401431146 and opening time 09:30 AM; Facebook page confirms agricultural inputs/agricultural service presence with phone 9523172717. No working website/e-commerce verified.</t>
  </si>
  <si>
    <t>Unitech Enterprises, Ranchi</t>
  </si>
  <si>
    <t>Safety equipment supplier</t>
  </si>
  <si>
    <t>Lower Bazaar, Ranchi, Jharkhand 834001</t>
  </si>
  <si>
    <t>6203921907 / 07765950063</t>
  </si>
  <si>
    <t>https://jsdl.in/DT-51QAIM26YAE</t>
  </si>
  <si>
    <t>Agriculture equipment, Farm implements, Agricultural tools and hand tools, Irrigation products: drip, sprinkler, pipes, fittings, accessories</t>
  </si>
  <si>
    <t>Product listings, supplier profile, business enquiries, agricultural products promotion</t>
  </si>
  <si>
    <t>DURGA BEEJ BHANDAR</t>
  </si>
  <si>
    <t>Ranchi Patratu Ramgarh Rd, Sutiambe, Jharkhand 834006</t>
  </si>
  <si>
    <t>Sutiambe</t>
  </si>
  <si>
    <t>9709197904 / 9709567108</t>
  </si>
  <si>
    <t>https://ram726.github.io/DBB/</t>
  </si>
  <si>
    <t>Seeds, Fertilizers, Pesticides, Organic and bio inputs, Agricultural equipment</t>
  </si>
  <si>
    <t>Approx. 13.5 hrs/day; exact open-close timing not verified</t>
  </si>
  <si>
    <t>Product Catalogue Website</t>
  </si>
  <si>
    <t>Product catalogue, seed promotion, agricultural products showcase, customer enquiries</t>
  </si>
  <si>
    <t>https://jsdl.in/DT-51XU6XGZ7PX</t>
  </si>
  <si>
    <t>N.B. Enterprises</t>
  </si>
  <si>
    <t>TILTA (NEAR RING ROAD CHOWK, Ratu, Ranchi, Jharkhand 834004</t>
  </si>
  <si>
    <t>Tilta</t>
  </si>
  <si>
    <t>https://maps.app.goo.gl/upkV8yjYkeQK9XpT9</t>
  </si>
  <si>
    <t>Agriculture equipment, Farm implements, Ancillary agriculture equipment</t>
  </si>
  <si>
    <t>Business listing, tractor sales, equipment enquiries, dealership promotion</t>
  </si>
  <si>
    <t>Low Relevance</t>
  </si>
  <si>
    <t>IndiaMART and Justdial listings available; limited agriculture equipment/tractor accessory overlap only, so retained as low relevance competitor.</t>
  </si>
  <si>
    <t>Swaraj Tractors - M/S Kanishk Automobile</t>
  </si>
  <si>
    <t>Plot No 546, Tilta, Chowk, Ratu Rd, beside Palm Resort, Kamre, Ranchi, Jharkhand 835222</t>
  </si>
  <si>
    <t>Kamre</t>
  </si>
  <si>
    <t>https://maps.app.goo.gl/kccKD3XDu9q4AVFU8</t>
  </si>
  <si>
    <t>Tractor dealership promotion and customer enquiries through listing platforms; no independent website or e-commerce verified</t>
  </si>
  <si>
    <t>Limited dealership/service support; direct agri-input retail not verified</t>
  </si>
  <si>
    <t>Good Google rating but narrow product relevance</t>
  </si>
  <si>
    <t>Low — tractor/implements-linked visibility only; no verified consumable agri-input or digital commerce strength</t>
  </si>
  <si>
    <t>Low-priority monitoring; Dharati Dhan can differentiate through seeds, fertilizers, pesticides, sprayers, irrigation accessories, WhatsApp catalogue, and faster retail service</t>
  </si>
  <si>
    <t>Justdial listing available; no independent website/e-commerce verified. Retained as low relevance competitor only because limited farm implements/accessories overlap appears possible.</t>
  </si>
  <si>
    <t>Trackstar Tractor Showroom</t>
  </si>
  <si>
    <t>Ratu Rd, Kamre, Jharkhand 835222</t>
  </si>
  <si>
    <t>https://maps.app.goo.gl/XPF4Ta4SPVdHjPrM8</t>
  </si>
  <si>
    <t>Approx. 10.5 hrs/day; exact open-close timing not verified</t>
  </si>
  <si>
    <t>Tractor dealership promotion, customer enquiries, product information</t>
  </si>
  <si>
    <t>https://jsdl.in/DT-51XG5TZYV1K</t>
  </si>
  <si>
    <t>Mushroom Spawn Ranchi</t>
  </si>
  <si>
    <t>Lalganj Village, Lalganj, Ranchi, Jharkhand 835217</t>
  </si>
  <si>
    <t>Lalganj</t>
  </si>
  <si>
    <t>https://maps.app.goo.gl/JLCJVSwrZ5Z7kKzG6</t>
  </si>
  <si>
    <t>Seeds, Organic and bio inputs</t>
  </si>
  <si>
    <t>Directory/product-category visibility for mushroom spawn; no official website or social content verified</t>
  </si>
  <si>
    <t>Single-product mushroom spawn supply; direct phone enquiry possible but delivery/support not verified</t>
  </si>
  <si>
    <t>Very limited review data; insufficient sentiment</t>
  </si>
  <si>
    <t>Low — niche mushroom spawn product; no verified digital catalogue/e-commerce</t>
  </si>
  <si>
    <t>Low-priority niche opportunity; Dharati Dhan can consider mushroom/cultivation inputs only as an add-on category if local demand is observed</t>
  </si>
  <si>
    <t>Google Maps listing verified; limited review data; no official website/social/e-commerce found; niche mushroom spawn category only.</t>
  </si>
  <si>
    <t>JOHN DEERE Tractors Showroom</t>
  </si>
  <si>
    <t>Mtr South of Shani Mandir, Harmu Rd, Near Shayam Mandir, 200, Ranchi, Jharkhand 834001</t>
  </si>
  <si>
    <t>Harmu Rd</t>
  </si>
  <si>
    <t>https://maps.app.goo.gl/eLbzdNZXbafx1PP97</t>
  </si>
  <si>
    <t>Approx. 11 hrs/day; exact open-close timing not verified</t>
  </si>
  <si>
    <t>Tractor catalogue, product promotion, financing information, dealership services, customer enquiries</t>
  </si>
  <si>
    <t>https://jsdl.in/DT-51YNJSVU</t>
  </si>
  <si>
    <t>Nirmal Seeds Pvt Ltd, Ranchi</t>
  </si>
  <si>
    <t>C/o. S.S.P. Sahu, Saparam, Nagri, Ranchi (Ring Road NH-23 Near Over Bridge, opposite Adiraj/Ramraj Cold Storage, Ranchi, Jharkhand 835303</t>
  </si>
  <si>
    <t>Piska Nagri</t>
  </si>
  <si>
    <t>0651-2521102</t>
  </si>
  <si>
    <t>https://maps.app.goo.gl/caYsfMJks3GpqS9u7</t>
  </si>
  <si>
    <t>https://nirmalseedsindia.com/</t>
  </si>
  <si>
    <t>Official Company / Product Catalogue Website</t>
  </si>
  <si>
    <t>https://www.linkedin.com/company/nirmal-seeds-india-pvt-ltd/</t>
  </si>
  <si>
    <t>Official seed and bio-input product catalogue, product performance content, company profile, regional office network, contact/WhatsApp-based enquiry visibility</t>
  </si>
  <si>
    <t>Company regional office/dealer network; seeds and bio-input supply; local retail/customer support not fully verified</t>
  </si>
  <si>
    <t>Good local rating but low review count; limited customer sentiment base</t>
  </si>
  <si>
    <t>Moderate — established seed company with R&amp;D/bio-input catalogue, but no verified local e-commerce/cart</t>
  </si>
  <si>
    <t>Dharati Dhan can compete through local availability, faster advisory, bundled agri-input kits, transparent retail pricing, and WhatsApp catalogue-based ordering</t>
  </si>
  <si>
    <t>Official Nirmal Seeds website confirms seeds, bio-products, vegetable products, contact/WhatsApp visibility and Ranchi-Jharkhand regional office; Justdial/third-party listing confirms local Ranchi seed retailer presence and 4.5 rating. Retained as weak direct competitor due to narrow but relevant seeds/bio-input overlap.</t>
  </si>
  <si>
    <t>Beej Bhandar</t>
  </si>
  <si>
    <t>Kusai Colony, Ranchi, Jharkhand 834002</t>
  </si>
  <si>
    <t>Kusai Colony</t>
  </si>
  <si>
    <t>https://maps.app.goo.gl/A1RDAeYcPAHg2XYF6</t>
  </si>
  <si>
    <t>Seed retailing, agricultural products promotion, customer enquiries</t>
  </si>
  <si>
    <t>https://jsdl.in/DT-51CFD5UQICI</t>
  </si>
  <si>
    <t>Rootrees</t>
  </si>
  <si>
    <t>Landscaping supply store</t>
  </si>
  <si>
    <t>kedia square, 203, Baralal St, Upper Bazar, Ranchi, Jharkhand 834001</t>
  </si>
  <si>
    <t>https://maps.app.goo.gl/5yLw5y6kHns5GH4Q7</t>
  </si>
  <si>
    <t>Urban gardening products, Terrace gardening products, Grow bags, planters, potting mix, shade nets, mulch films</t>
  </si>
  <si>
    <t>https://www.instagram.com/rootrees/</t>
  </si>
  <si>
    <t>Plant nursery promotion, landscaping products, customer enquiries, business directory presence</t>
  </si>
  <si>
    <t>https://jsdl.in/DT-51VXKXRZENR</t>
  </si>
  <si>
    <t>Jharkhand Nursery</t>
  </si>
  <si>
    <t>Plant nursery</t>
  </si>
  <si>
    <t>Hehal Pawa Chowk, Hehal, Itki Rd, Ranchi, Jharkhand 834005</t>
  </si>
  <si>
    <t>Hehal</t>
  </si>
  <si>
    <t>https://maps.app.goo.gl/JdGXHAo9PR8zxuWT7</t>
  </si>
  <si>
    <t>Urban gardening products, Grow bags, planters, potting mix, shade nets, mulch films</t>
  </si>
  <si>
    <t>https://jharkhandnursery.com/</t>
  </si>
  <si>
    <t>https://www.facebook.com/profile.php?id=100091772888241</t>
  </si>
  <si>
    <t>https://www.linkedin.com/company/jharkhand-nursery/posts/?feedView=all</t>
  </si>
  <si>
    <t>Plant catalogue, nursery products, wholesale and retail plants, landscaping and gardening promotion</t>
  </si>
  <si>
    <t>https://jsdl.in/DT-51E226UUEQM</t>
  </si>
  <si>
    <t>Baby Plant</t>
  </si>
  <si>
    <t>Bypass Rd, opposite Jharkhand furniture, Ashok Kunj, Ranchi, Jharkhand 834002</t>
  </si>
  <si>
    <t>Bypass Rd</t>
  </si>
  <si>
    <t>https://maps.app.goo.gl/Qkh6At5KEFs3JGLJ9</t>
  </si>
  <si>
    <t>Urban gardening products, Grow bags, planters, potting mix, shade nets, mulch films, Organic and bio inputs</t>
  </si>
  <si>
    <t>https://www.instagram.com/babyplant.in/</t>
  </si>
  <si>
    <t>Plant nursery promotion, ornamental plants, gardening content, customer engagement through social media</t>
  </si>
  <si>
    <t>kisan Mitro Enterprises</t>
  </si>
  <si>
    <t>9925+7C5, Samlong, Ranchi, Jharkhand 834010</t>
  </si>
  <si>
    <t>Ashok Kunj</t>
  </si>
  <si>
    <t>https://maps.app.goo.gl/ZyEHf3scMN4jVq417?g_st=aw</t>
  </si>
  <si>
    <t>Agriculture equipment, Farm implements, Sprayers, Agricultural tools and hand tools, Ancillary agriculture equipment and accessories</t>
  </si>
  <si>
    <t>https://kisanmitro.shop/</t>
  </si>
  <si>
    <t>Product Catalogue / Enquiry-Based Website</t>
  </si>
  <si>
    <t>Agricultural equipment promotion, product showcase, farming solutions, lead generation, customer enquiries</t>
  </si>
  <si>
    <t>Hold for Review — relevant agriculture equipment, sprayers, tools, accessories, website, IndiaMART, and Justdial presence appear in the matrix, but product range and active customer-facing relevance should be manually verified before final inclusion.</t>
  </si>
  <si>
    <t>Balajee Sprayers</t>
  </si>
  <si>
    <t>Garikhana Chowk, Harmu Rd, near Punjab Bank, Ranchi, Jharkhand 834001</t>
  </si>
  <si>
    <t>https://maps.app.goo.gl/DsN9A9LpR3MPkagh6</t>
  </si>
  <si>
    <t>Sprayers, Agricultural tools and hand tools, Ancillary agriculture equipment and accessories</t>
  </si>
  <si>
    <t>Agricultural sprayers, PVC pipes, product catalogue, customer enquiries, business directory presence</t>
  </si>
  <si>
    <t>Nishechan Inc</t>
  </si>
  <si>
    <t>Irrigation equipment supplier</t>
  </si>
  <si>
    <t>Gadhousir, Gargil chowk, Plot Number 715.722, Hasan St, Hosir, Jharkhand 834006</t>
  </si>
  <si>
    <t>Hosir</t>
  </si>
  <si>
    <t>https://maps.app.goo.gl/ApwobwDb3qfiLCSXA</t>
  </si>
  <si>
    <t>Irrigation products: drip, sprinkler, pipes, fittings, accessories, Urban gardening products, Terrace gardening products, Sprayers, Accessories</t>
  </si>
  <si>
    <t>https://nishechan.com/</t>
  </si>
  <si>
    <t>Irrigation solutions, landscaping services, greenhouse systems, kitchen gardening, lead generation, company branding</t>
  </si>
  <si>
    <t>Strong irrigation presence but zero organic bio-input crossover. Opportunity to bundle our urban gardening tools and bio-fertilizers alongside their product lines.</t>
  </si>
  <si>
    <t>Pinky Khad Bij &amp; Hardware Bhandar And Furniture dukaan</t>
  </si>
  <si>
    <t>C7RV+PH4, Near Dena Bank, Kanke, Sukurhutu, Ranchi, Jharkhand 834006</t>
  </si>
  <si>
    <t>Kanke</t>
  </si>
  <si>
    <t>https://maps.app.goo.gl/d7RWURocQgTbG7x2A</t>
  </si>
  <si>
    <t>Seeds, Fertilizers, Pesticides, Sprayers, Agricultural tools and hand tools, Ancillary agriculture equipment and accessories</t>
  </si>
  <si>
    <t>Agricultural inputs retailing, fertilizers and seeds promotion, hardware products, customer enquiries</t>
  </si>
  <si>
    <t>Verification note — Rural hybrid store selling certified seeds and tools alongside hardware and home furniture lines</t>
  </si>
  <si>
    <t>Sashanka Agro Tech Pvt. Ltd.</t>
  </si>
  <si>
    <t>Corporate office</t>
  </si>
  <si>
    <t>21/B, Harihar Singh Road, Morabadi, Ranchi, Jharkhand 834009</t>
  </si>
  <si>
    <t>Morabadi</t>
  </si>
  <si>
    <t>https://maps.app.goo.gl/Xok85ZQMjfWnYKdAA</t>
  </si>
  <si>
    <t>Irrigation products: drip, sprinkler, pipes, fittings, accessories, Seeds, Urban gardening products, Terrace gardening products, Grow bags, planters, potting mix, shade nets, mulch films, Organic and bio inputs</t>
  </si>
  <si>
    <t>Emerging Competitor</t>
  </si>
  <si>
    <t>http://www.sashankaagrotech.com/</t>
  </si>
  <si>
    <t>https://in.linkedin.com/company/sashanka-agro-tech-p-ltd</t>
  </si>
  <si>
    <t>Greenhouse solutions, irrigation systems, organic farming, biotechnology products, agricultural infrastructure, lead generation</t>
  </si>
  <si>
    <t>Focuses heavily on large-scale commercial greenhouse construction and institutional biotechnology contracts. This leaves a massive service vacuum for independent retail farmers who need immediate, on-the-ground access to fast-moving consumable inputs, localized micro-irrigation replacements, and direct retail advisory.</t>
  </si>
  <si>
    <t>Verification note — Corporate office specializing in large B2B greenhouse construction and biotech, but sells matching irrigation, grow bags, and nets</t>
  </si>
  <si>
    <t>SWASTIK SEEDS</t>
  </si>
  <si>
    <t>ROAD NO-1, RANI BAGICHA KATHITAND CHOWK, Ratu, Ranchi, Jharkhand 835222</t>
  </si>
  <si>
    <t>Ratu</t>
  </si>
  <si>
    <t>https://maps.app.goo.gl/amnBTaTzvLtPtXuMA</t>
  </si>
  <si>
    <t>Seeds, Fertilizers, Pesticides, Organic and bio inputs</t>
  </si>
  <si>
    <t>https://swastikseeds.com/</t>
  </si>
  <si>
    <t>Business Website</t>
  </si>
  <si>
    <t>Product-focused seed varieties, product catalogue, crop information, company profile</t>
  </si>
  <si>
    <t>Verification note — Website indicates corporate parent in Guntur/Hyderabad; flagged to verify if Ratu store is an authorized dealer or independent namesake</t>
  </si>
  <si>
    <t>NPK Agric</t>
  </si>
  <si>
    <t>Agricultural service</t>
  </si>
  <si>
    <t>Radium Rd, near Kumar Market, Kutchery, Ahirtoli, Ranchi, Jharkhand 834001</t>
  </si>
  <si>
    <t>https://maps.app.goo.gl/u5YG8VZ8hLW65QHCA</t>
  </si>
  <si>
    <t>Agriculture equipment, Farm implements, Agricultural tools and hand tools, Organic and bio inputs</t>
  </si>
  <si>
    <t>https://npkagric.com</t>
  </si>
  <si>
    <t>https://in.linkedin.com/company/npk-agric</t>
  </si>
  <si>
    <t>Agriculture solutions, irrigation systems, farm machinery, product information, company profile</t>
  </si>
  <si>
    <t>Shankar Nursery</t>
  </si>
  <si>
    <t>Lowadih Rd, Bhuiyan Toli, Samlong, Ranchi, Jharkhand 834010</t>
  </si>
  <si>
    <t>Bariatu</t>
  </si>
  <si>
    <t>https://maps.app.goo.gl/WyzALoiAEt96cspd6</t>
  </si>
  <si>
    <t>Urban gardening products, Terrace gardening products, Grow bags, planters, potting mix, shade nets, mulch films, Organic and bio inputs</t>
  </si>
  <si>
    <t>https://shankarnursery.co.in</t>
  </si>
  <si>
    <t>E-Commerce Website</t>
  </si>
  <si>
    <t>https://www.linkedin.com/in/shankar-nursery-0401b5371/?utm_source=chatgpt%2Ecom&amp;originalSubdomain=in</t>
  </si>
  <si>
    <t>Plants catalogue, gardening products, online plant sales, plant care information, company profile</t>
  </si>
  <si>
    <t>https://jsdl.in/DT-51QEZDE6BLW, https://www.indiamart.com/shankarnursery/</t>
  </si>
  <si>
    <t>RIYA NURSERY</t>
  </si>
  <si>
    <t>Green residency, New, Nalanda Colony, tater tolli, Morabadi, Ranchi, Jharkhand 834009</t>
  </si>
  <si>
    <t>https://maps.app.goo.gl/VGWLCBn72RqPCiUx5</t>
  </si>
  <si>
    <t>https://www.facebook.com/riya.nursery/</t>
  </si>
  <si>
    <t>https://www.instagram.com/riya.nursery/</t>
  </si>
  <si>
    <t>Instagram active — seasonal plants, ornamental and flowering plants content, 121 posts</t>
  </si>
  <si>
    <t>https://jsdl.in/DT-51WHE3I24LJ</t>
  </si>
  <si>
    <t>Maa Kali Nursery</t>
  </si>
  <si>
    <t>Booty Rd, Nagra Toli, Ranchi, Jharkhand 834008</t>
  </si>
  <si>
    <t>Booty Road</t>
  </si>
  <si>
    <t>https://maps.app.goo.gl/nzkLJ8quevJzF93M8</t>
  </si>
  <si>
    <t>https://www.indiamart.com/maa-kali-nursery, https://jsdl.in/DT-51YEMAUIU62</t>
  </si>
  <si>
    <t>New Jharkhand Nursary</t>
  </si>
  <si>
    <t>Wholesale plant nursery</t>
  </si>
  <si>
    <t>834002, Doranda Bazar, Resaldar Nagar, Doranda, Ranchi, Jharkhand 834002</t>
  </si>
  <si>
    <t>Doranda</t>
  </si>
  <si>
    <t>https://maps.app.goo.gl/dK4pxxxJrh5HDovo8</t>
  </si>
  <si>
    <t>Approx. 12 hrs/day; exact open-close timing not verified</t>
  </si>
  <si>
    <t>https://jsdl.in/DT-516EQA6MYUY</t>
  </si>
  <si>
    <t>Shalimar Sadabahar Nursery</t>
  </si>
  <si>
    <t>Irba, NH-33, near Vikas Vidyalaya, Main Road, Ranchi, Jharkhand 835217</t>
  </si>
  <si>
    <t>Irba</t>
  </si>
  <si>
    <t>https://maps.app.goo.gl/SQyobcKaEvW2ZjCj7</t>
  </si>
  <si>
    <t>Approx. 14 hrs/day; exact open-close timing not verified</t>
  </si>
  <si>
    <t>https://www.facebook.com/Shalimarsadabaharnursery/</t>
  </si>
  <si>
    <t>https://www.instagram.com/shalimar.nursery/</t>
  </si>
  <si>
    <t>Facebook page exists; visitor-made YouTube videos suggest strong offline footfall but no owned content strategy</t>
  </si>
  <si>
    <t>https://jsdl.in/DT-51IMI2AMQAY</t>
  </si>
  <si>
    <t>Nursery flower's and plants</t>
  </si>
  <si>
    <t>B241, Bhuiyan Toli, Samlong, Ranchi, Jharkhand 834010</t>
  </si>
  <si>
    <t>Samlong</t>
  </si>
  <si>
    <t>https://maps.app.goo.gl/7ErQQNqwcxzAYtZcA</t>
  </si>
  <si>
    <t>https://jsdl.in/DT-51SFC8R7KHU</t>
  </si>
  <si>
    <t>Ormajhi farmer producer company limited</t>
  </si>
  <si>
    <t>Kanke - Ormanjhi Rd, Ranchi, Hasatu, Jharkhand 835219</t>
  </si>
  <si>
    <t>Hasatu</t>
  </si>
  <si>
    <t>https://maps.app.goo.gl/RxBRpVNDLUZFxcw66</t>
  </si>
  <si>
    <t>Seeds, Fertilizers, Pesticides, Sprayers, Agricultural tools and hand tools, Organic and bio inputs, Accessories</t>
  </si>
  <si>
    <t>https://www.ormajhi-fpcl.com/</t>
  </si>
  <si>
    <t>Corporate / Business Website</t>
  </si>
  <si>
    <t>https://jsdl.in/DT-516JAL5GDQI</t>
  </si>
  <si>
    <t>Uttam Krishi Bhandar, Boreya</t>
  </si>
  <si>
    <t>Store</t>
  </si>
  <si>
    <t>Kanke - Ormanjhi Rd, Ranchi, Jharkhand 834006</t>
  </si>
  <si>
    <t>Boreya</t>
  </si>
  <si>
    <t>https://maps.app.goo.gl/TN5QHBr9P85qZm2n8</t>
  </si>
  <si>
    <t>Agricultural inputs promotion, seed and fertilizer retailing, customer enquiries, directory-based visibility</t>
  </si>
  <si>
    <t>https://jsdl.in/DT-51UUQQAME66</t>
  </si>
  <si>
    <t>Birsa Krishi Kendra</t>
  </si>
  <si>
    <t>Patra Toli, Namkum, Ranchi, Jharkhand 834010</t>
  </si>
  <si>
    <t>Namkum</t>
  </si>
  <si>
    <t>https://maps.app.goo.gl/bezQqgWrU3n4wTMLA</t>
  </si>
  <si>
    <t>Seed retailing, agricultural inputs promotion, product catalogue, customer enquiries</t>
  </si>
  <si>
    <t>https://jsdl.in/DT-512E6U2QMIE, https://www.indiamart.com/birsa-krishi-kendra</t>
  </si>
  <si>
    <t>Krushi Khad Beej Bhandar</t>
  </si>
  <si>
    <t>CF3P+J5G, Purulia Rd, Gondilipokhar, Angara, Ranchi, Angara, Jharkhand 835103</t>
  </si>
  <si>
    <t>Angara</t>
  </si>
  <si>
    <t>https://maps.app.goo.gl/VndnTa9fXKSE5uq48</t>
  </si>
  <si>
    <t>Seeds and fertilizers promotion, agricultural inputs retailing, customer enquiries, local business visibility</t>
  </si>
  <si>
    <t>https://jsdl.in/DT-51UMIIMMYQI</t>
  </si>
  <si>
    <t>Jain Irrigation Systems Ltd</t>
  </si>
  <si>
    <t>Irrigation Products / Agri Inputs</t>
  </si>
  <si>
    <t>Ground Floor, Sukhdev Nagar, Opp. Sudha Motors, Near OTC Ground, Ratu Road, Hehal, Ranchi, Jharkhand 834005</t>
  </si>
  <si>
    <t>Hehal / Ratu Road, Ranchi</t>
  </si>
  <si>
    <t>https://maps.app.goo.gl/YAXszWZy6zdakGo69</t>
  </si>
  <si>
    <t>Drip irrigation, sprinkler irrigation, HDPE pipes, PVC pipes, pipe fittings, irrigation accessories, sprayers, tools, urban gardening products, terrace gardening products, accessories</t>
  </si>
  <si>
    <t>Monday-Saturday 9:30 AM-6:30 PM; Sunday Closed</t>
  </si>
  <si>
    <t>http://jains.com/</t>
  </si>
  <si>
    <t>Official Company Website</t>
  </si>
  <si>
    <t>https://www.facebook.com/JainIrrigationSystems</t>
  </si>
  <si>
    <t>https://www.instagram.com/jainirrigation_</t>
  </si>
  <si>
    <t>https://in.linkedin.com/company/jain-irrigation-systems-ltd-</t>
  </si>
  <si>
    <t>Strong corporate brand content with product education and farmer-focused awareness</t>
  </si>
  <si>
    <t>Local office/depot plus dealer-distributor support; likely B2B-heavy with some retail overlap</t>
  </si>
  <si>
    <t>Mixed / Not enough local review data</t>
  </si>
  <si>
    <t>High — national brand, irrigation technology, large product ecosystem</t>
  </si>
  <si>
    <t>High corporate B2B focus leaves individual retail farmers underserved. Dharati Dhan can compete through localized trust, faster delivery, and bundled agronomy advisory.</t>
  </si>
  <si>
    <t>Verification note — Justdial confirms Hehal/Ratu Road address and hours; Jain official sources confirm customer care, Ranchi office/depot contact numbers, and official website/social links. Local mobile +91 9470590437 appears on Jain network/direct office source but should be call-verified before finalizing.</t>
  </si>
  <si>
    <t>Sanitary Corner</t>
  </si>
  <si>
    <t>Sanitaryware Dealer</t>
  </si>
  <si>
    <t>The Westend Tower, Ratu Rd, opp. Janta Body Complex, Kumhartoli, Ranchi, Jharkhand 834005</t>
  </si>
  <si>
    <t>Lah Kothi</t>
  </si>
  <si>
    <t>https://maps.app.goo.gl/hhmy24a2GRKFNiZE8</t>
  </si>
  <si>
    <t>Mon-Sat 10:00 AM-7:30 PM; Sunday Open 24 Hrs</t>
  </si>
  <si>
    <t>https://www.facebook.com/SanitaryCornerRanchi/</t>
  </si>
  <si>
    <t>Sanitaryware/plumbing product visibility only; no Dharati Dhan-relevant agriculture content verified</t>
  </si>
  <si>
    <t>Exclude — verified sanitaryware/bathroom fittings/pumps/plumbing pipes/water tanks outlet; no agricultural drip/sprinkler irrigation, seeds, fertilizers, pesticides, sprayers, tools, urban gardening, terrace farming, or organic/bio-input overlap verified. Building-plumbing pipes are not treated as Dharati Dhan agri-irrigation overlap.</t>
  </si>
  <si>
    <t>Pandey Hybrid Seeds</t>
  </si>
  <si>
    <t>Shop No. 2, Sakti Tower, Hehal, opp. Bank Of India, Pandra, Ranchi, Jharkhand 834005</t>
  </si>
  <si>
    <t>Sakti Tower</t>
  </si>
  <si>
    <t>https://maps.app.goo.gl/CjVH7YoHAFu1Dj576</t>
  </si>
  <si>
    <t>Seeds, Fertilizers, Pesticides, herbicides, fungicides, crop protection products, Organic and bio inputs, Sprayers</t>
  </si>
  <si>
    <t>Hybrid seeds promotion, agricultural inputs retailing, customer enquiries, local business visibility</t>
  </si>
  <si>
    <t>https://jsdl.in/DT-515R79FF, https://www.indiamart.com/pandey-hybrid-seeds</t>
  </si>
  <si>
    <t>Raj Seeds</t>
  </si>
  <si>
    <t>Shop No 4, BOI Shakti Tower, Hehal, Pandra, Ranchi, Jharkhand 834005</t>
  </si>
  <si>
    <t>Pandra</t>
  </si>
  <si>
    <t>https://maps.app.goo.gl/EsKDRFo8ATAyZBqZ6</t>
  </si>
  <si>
    <t>Seeds, Fertilizers, Pesticides, Sprayers, Irrigation products: drip, sprinkler, pipes, fittings, accessories, Organic and bio inputs</t>
  </si>
  <si>
    <t>Seeds retailing, agricultural inputs promotion, customer enquiries, local business visibility</t>
  </si>
  <si>
    <t>https://jsdl.in/DT-51NX9FW3, https://www.indiamart.com/raj-seeds-ranchi/</t>
  </si>
  <si>
    <t>Kishan Ghar</t>
  </si>
  <si>
    <t>1, Pandra Rd, Panchsheel Colony, Ranchi, Jharkhand 834005</t>
  </si>
  <si>
    <t>https://maps.app.goo.gl/rbUHaxPxe6k4Rh7n6</t>
  </si>
  <si>
    <t>Seeds, Fertilizers, Pesticides, herbicides, fungicides, crop protection products, Sprayers, Organic and bio inputs</t>
  </si>
  <si>
    <t>Agricultural inputs retailing, seeds and fertilizers promotion, customer enquiries, local business visibility</t>
  </si>
  <si>
    <t>https://jsdl.in/DT-51IA2IAYQ6E, https://www.indiamart.com/kissan-ghar</t>
  </si>
  <si>
    <t>The Flower Kingdom Trading Co.</t>
  </si>
  <si>
    <t>Seed Wholesaler</t>
  </si>
  <si>
    <t>Bariatu road, near DAV NANDRAJ SCHOOL, PANI TANKI, BOOTY MORE, Ranchi, Jharkhand 834012</t>
  </si>
  <si>
    <t>https://maps.app.goo.gl/QYR3vJTzsihaacR96</t>
  </si>
  <si>
    <t>https://theflowerkingdom.in/</t>
  </si>
  <si>
    <t>https://www.facebook.com/p/The-Flower-Kingdom-Trading-Co-100064710490240/</t>
  </si>
  <si>
    <t>https://www.instagram.com/theflowerkingdomranchi/</t>
  </si>
  <si>
    <t>Flower plants, ornamental plants, landscaping services, gardening products, plant nursery promotion, customer engagement through social media</t>
  </si>
  <si>
    <t>https://jsdl.in/DT-51MA3UHLPT2, https://www.indiamart.com/the-flower-kingdom-trading-co/</t>
  </si>
  <si>
    <t xml:space="preserve"> </t>
  </si>
  <si>
    <t>Assigned To</t>
  </si>
  <si>
    <t>Discovered</t>
  </si>
  <si>
    <t>Relevance Screened</t>
  </si>
  <si>
    <t>Data Collected</t>
  </si>
  <si>
    <t>Verified</t>
  </si>
  <si>
    <t>Scored</t>
  </si>
  <si>
    <t>Ready for Report</t>
  </si>
  <si>
    <t>Comments</t>
  </si>
  <si>
    <t>Aayushi - Discovery</t>
  </si>
  <si>
    <t>Data and QA completed; pending final dashboard and report integration.</t>
  </si>
  <si>
    <t>Anirudhra - Platform Data</t>
  </si>
  <si>
    <t>Vinayak - QA and Exclusion Review</t>
  </si>
  <si>
    <t>Archived after QA; tractor-only dealer with no verified Dharati Dhan-relevant product overlap.</t>
  </si>
  <si>
    <t>Dipannita - Digital Analysis</t>
  </si>
  <si>
    <t>Digital and social visibility reviewed; pending final dashboard and report integration.</t>
  </si>
  <si>
    <t>Dipannita - Website and E-commerce Review</t>
  </si>
  <si>
    <t>Official dealer page verified; pending final dashboard and report integration.</t>
  </si>
  <si>
    <t>Platform data and irrigation overlap reviewed; pending final dashboard and report integration.</t>
  </si>
  <si>
    <t>Kv Sales &amp; Marketing Pvt Ltd</t>
  </si>
  <si>
    <t>Partially</t>
  </si>
  <si>
    <t>Hold for Review; operational status could not be independently verified; Justdial listing is marked Closed Down.</t>
  </si>
  <si>
    <t>Vinayak - QA and Low-Relevance Review</t>
  </si>
  <si>
    <t>Low-relevance tractor and implement-linked competitor; pending final dashboard and report integration.</t>
  </si>
  <si>
    <t>Source link and platform data corrected; pending final dashboard and report integration.</t>
  </si>
  <si>
    <t>Low-relevance tractor and equipment accessory overlap verified; pending final dashboard and report integration.</t>
  </si>
  <si>
    <t>Low-relevance tractor showroom; pending final dashboard and report integration.</t>
  </si>
  <si>
    <t>Niche low-relevance competitor reviewed; pending final dashboard and report integration.</t>
  </si>
  <si>
    <t>Dipannita - Website and Digital Review</t>
  </si>
  <si>
    <t>Official website and seed/bio-input relevance verified; pending final dashboard and report integration.</t>
  </si>
  <si>
    <t>Saloni - Product and Service Analysis</t>
  </si>
  <si>
    <t>Urban and terrace gardening overlap reviewed; pending final dashboard and report integration.</t>
  </si>
  <si>
    <t>Nursery and urban gardening overlap reviewed; pending final dashboard and report integration.</t>
  </si>
  <si>
    <t>Nursery and organic input overlap reviewed; pending final dashboard and report integration.</t>
  </si>
  <si>
    <t>Vinayak - Hold for Review and QA</t>
  </si>
  <si>
    <t>Hold for Review; product range and active customer-facing relevance need final manual verification.</t>
  </si>
  <si>
    <t>Sprayers and accessories overlap reviewed; pending final dashboard and report integration.</t>
  </si>
  <si>
    <t>Saloni - Product and Innovation Analysis</t>
  </si>
  <si>
    <t>Irrigation and urban gardening opportunity reviewed; pending final dashboard and report integration.</t>
  </si>
  <si>
    <t>Vinayak - Hybrid Entity Review</t>
  </si>
  <si>
    <t>Hybrid rural store reviewed and retained; pending final dashboard and report integration.</t>
  </si>
  <si>
    <t>Greenhouse and irrigation product overlap reviewed; pending final dashboard and report integration.</t>
  </si>
  <si>
    <t>Platform and seed input relevance reviewed; pending final dashboard and report integration.</t>
  </si>
  <si>
    <t>Platform and agricultural service data reviewed; pending final dashboard and report integration.</t>
  </si>
  <si>
    <t>Dipannita - Digital and E-commerce Review</t>
  </si>
  <si>
    <t>Website and e-commerce nursery presence reviewed; pending final dashboard and report integration.</t>
  </si>
  <si>
    <t>Nursery and social visibility reviewed; pending final dashboard and report integration.</t>
  </si>
  <si>
    <t>Plant nursery and urban gardening overlap reviewed; pending final dashboard and report integration.</t>
  </si>
  <si>
    <t>Wholesale nursery and gardening overlap reviewed; pending final dashboard and report integration.</t>
  </si>
  <si>
    <t>Low-relevance nursery competitor reviewed; pending final dashboard and report integration.</t>
  </si>
  <si>
    <t>Vinayak - QA and Emerging Competitor Review</t>
  </si>
  <si>
    <t>Emerging competitor relevance verified; pending final dashboard and report integration.</t>
  </si>
  <si>
    <t>Vinayak - QA and Strategic Competitor Review</t>
  </si>
  <si>
    <t>Strong irrigation competitor reviewed; pending final dashboard and report integration.</t>
  </si>
  <si>
    <t>Archived after QA; sanitaryware and plumbing outlet with no Dharati Dhan-relevant agri overlap.</t>
  </si>
  <si>
    <t>Platform and agri-input relevance reviewed; pending final dashboard and report integration.</t>
  </si>
  <si>
    <t>Dipannita - Digital and Social Review</t>
  </si>
  <si>
    <t>Website and social visibility reviewed; pending final dashboard and report integration.</t>
  </si>
  <si>
    <t>Date</t>
  </si>
  <si>
    <t>Intern Name</t>
  </si>
  <si>
    <t>Task Assigned</t>
  </si>
  <si>
    <t>Work Completed</t>
  </si>
  <si>
    <t>Competitors Researched</t>
  </si>
  <si>
    <t>Source Links Added</t>
  </si>
  <si>
    <t>Issues Faced</t>
  </si>
  <si>
    <t>Entries Marked Hold for Review</t>
  </si>
  <si>
    <t>Support Needed</t>
  </si>
  <si>
    <t>Plan for Tomorrow</t>
  </si>
  <si>
    <t>Shravan</t>
  </si>
  <si>
    <t>Dharati Master Excel file update and internship project progress review</t>
  </si>
  <si>
    <t>Completed Dharati Master Excel file and reviewed internship project progress</t>
  </si>
  <si>
    <t>N/A</t>
  </si>
  <si>
    <t>None</t>
  </si>
  <si>
    <t>Continue project updates and assigned tasks tomorrow</t>
  </si>
  <si>
    <t>Aayushi</t>
  </si>
  <si>
    <t>Competitor Discovery, Basic Detail Verification, and Source Sourcing</t>
  </si>
  <si>
    <t>Discovered, verified, and successfully migrated 27 agricultural and urban gardening competitors straight into the team's shared master Google Sheet</t>
  </si>
  <si>
    <t>Scale up keyword execution across secondary and peripheral Ranchi corridors (including Kanke, Ormanjhi, and Namkum nodes) to systematically expand the market matrix map</t>
  </si>
  <si>
    <t>Vinayak</t>
  </si>
  <si>
    <t>Dharati Master Excel file and verification</t>
  </si>
  <si>
    <t>verified some rows of information</t>
  </si>
  <si>
    <t>Next Rows for verification and Holdup</t>
  </si>
  <si>
    <t>Anirudhra</t>
  </si>
  <si>
    <t>Platform Data Collection Lead (Google, IndiaMART, Justdial, YouTube)</t>
  </si>
  <si>
    <t>Collected and analyzed some  competitor data across Google, IndiaMART, Justdial, and YouTube.</t>
  </si>
  <si>
    <t>continue the data collection and analyzation process.</t>
  </si>
  <si>
    <t>Dipannita</t>
  </si>
  <si>
    <t>Digital presence and e-commerce audit of competitors</t>
  </si>
  <si>
    <t>Reviewed master sheet, understood column responsibilities</t>
  </si>
  <si>
    <t>Continue the auditing process</t>
  </si>
  <si>
    <t>Saloni</t>
  </si>
  <si>
    <t>Reviewed master sheet for competitor's list and classify them into groups and done product portfolio comparison</t>
  </si>
  <si>
    <t>Continue Product portfolio finding analysis and identifying unique records</t>
  </si>
  <si>
    <t xml:space="preserve">Vinayak </t>
  </si>
  <si>
    <t>QA Automation, Cross-Sheet Framework Synchronization, and Executive Dashboard Deployment</t>
  </si>
  <si>
    <t>Achieved absolute zero in the backlog by auditing and finalizing decisions for 16 complex entries. Fully synchronized the Master Matrix, Project Tracker, and Hold Sheet to eliminate desynchronizations. Deployed a 0–100 threat-scoring model across all 37 mapped lines and built the automated, dynamically bound "Threat Summary" executive tab using localized COUNTIF logic</t>
  </si>
  <si>
    <t>Discovered, verified, and successfully migrated 10 agricultural and urban gardening competitors straight into the team's shared master Google Sheet</t>
  </si>
  <si>
    <t>Product Portfolio, Service Model and Innovation Opportunity Analysis.</t>
  </si>
  <si>
    <t>Create a Competitor Research Sheet and working product portfolio</t>
  </si>
  <si>
    <t>Project coordination, tracker management, competitor consolidation, team follow-up and QA coordination</t>
  </si>
  <si>
    <t>Updated Project Tracker, maintained Master Competitor Matrix, coordinated with Aayushi, Anirudhra, Saloni, Dipannita and Vinayak, reviewed competitor classifications, verified Hold Sheet status, assigned mandatory columns to team members and consolidated progress updates</t>
  </si>
  <si>
    <t>35+</t>
  </si>
  <si>
    <t>Final QA decisions from Vinayak and completion updates from remaining team members</t>
  </si>
  <si>
    <t>Synchronize Hold Sheet with QA decisions, monitor platform data collection, review digital presence data, prepare competitor classification summary and continue project consolidation</t>
  </si>
  <si>
    <t>Collected and analyzed 10 competitor data across Google, IndiaMART, Justdial, and YouTube.</t>
  </si>
  <si>
    <t>yes</t>
  </si>
  <si>
    <t>Researched competitors digital presence and filled data in sheet</t>
  </si>
  <si>
    <t>Peripheral Market Integration &amp; Dashboard Scaling</t>
  </si>
  <si>
    <t>QA audited new Namkum/Pandra batch (Rows 41-50). Corrected formatting errors to prevent formula breakage. Cleared 3 complex Holds (included FPO and corporate depot; excluded sanitary dealer). Expanded dashboard arrays to evaluate 100+ rows, successfully capturing the new matrix data.</t>
  </si>
  <si>
    <t>Monitor final digital presence scraping efforts and prepare final Threat Matrix charts for Phase 5 reporting.</t>
  </si>
  <si>
    <t>Project Execution, Team Coordination, Tracker Management, QA Coordination, Progress Monitoring</t>
  </si>
  <si>
    <t>Coordinated with all interns, reviewed Master Competitor Matrix, Project Tracker and Hold Sheet, collected progress updates, verified role-wise deliverables, reviewed Vinayak QA framework, reviewed Saloni analysis sheets, followed up on compulsory columns, monitored project execution and documentation progress</t>
  </si>
  <si>
    <t>Review updated Master Matrix, verify compulsory columns completion, coordinate remaining data collection, start scoring and threat classification review, and prepare project progress summary</t>
  </si>
  <si>
    <t>Perform Data Collection (Google, IndiaMART,Justdial,YouTube)</t>
  </si>
  <si>
    <t>Collected and analyzed 32 competitor data across Google, IndiaMART, Justdial, and YouTube.</t>
  </si>
  <si>
    <t>Reviewed master sheet for competitor's list  and created excel sheet for Product Portfolio Analysis,Service Model Analysis,product gap analysis,Innovation Opportunity Matrix.</t>
  </si>
  <si>
    <t>Continue updating excel sheet with remaining competitor list for updating Final Master Competitor Matrix.</t>
  </si>
  <si>
    <t>Matrix Sanitization &amp; Executive Dashboard Corrections</t>
  </si>
  <si>
    <t>Resolved critical data entry errors (typos and blanks) causing dashboard mathematical overlaps. Upgraded the Threat Engine classification to the 5-Tier Executive Methodology and completely standardized the Hold Sheet taxonomy.</t>
  </si>
  <si>
    <t>Intern data entry errors in Status Column (Resolved)</t>
  </si>
  <si>
    <t>Monitor Phase 5 Data Collection and Prepare Final Threat Report</t>
  </si>
  <si>
    <t>Finalize Competitor Type classification</t>
  </si>
  <si>
    <t>Classified all entries serial-wise using Direct, Indirect, Emerging, and Low Relevance filters.</t>
  </si>
  <si>
    <t xml:space="preserve">Shravan </t>
  </si>
  <si>
    <t>Project Execution, Team Coordination, Master Tracker Management, Daily Progress Monitoring, QA Coordination and Report Consolidation</t>
  </si>
  <si>
    <t>Coordinated with all team members, reviewed Master Competitor Matrix, Project Tracker and Hold for Review Sheet, collected progress updates from all interns, verified role-wise task completion, reviewed Vinayak's QA framework and methodology, reviewed Saloni's analysis sheets, followed up on compulsory columns, monitored project execution and documented overall project progress</t>
  </si>
  <si>
    <t>Project-wide review of 50 competitors currently in the Master Matrix</t>
  </si>
  <si>
    <t>Reviewed source-link completion and verification status across all team members</t>
  </si>
  <si>
    <t>Review updated Master Matrix, verify completion of all compulsory columns, coordinate remaining data collection, start competitor scoring and threat classification review, prepare consolidated project progress summary and continue planning for the final report</t>
  </si>
  <si>
    <t xml:space="preserve">Reviewed master sheet for competitor's list  and created excel sheet for Product Portfolio Analysis,Service Model Analysis,product gap analysis,Innovation Opportunity Matrix also created master competitor matrix sheet </t>
  </si>
  <si>
    <t>Prepare final report documenting the findings, insights and results</t>
  </si>
  <si>
    <t xml:space="preserve">checked which competitors data is missing, which columns were affected </t>
  </si>
  <si>
    <t>successfully checked missing competitor's data and columns that are affected.</t>
  </si>
  <si>
    <t>checked all the compulsory columns which are assigned to me.</t>
  </si>
  <si>
    <t>successfully checked all the columns which are assigned.</t>
  </si>
  <si>
    <t>Project Execution, Team Coordination, Progress Monitoring, QA Review, Report Coordination and Master Tracker Management</t>
  </si>
  <si>
    <t>Coordinated with all team members and reviewed their progress. Verified Vinayak's QA framework and Hold for Review updates, reviewed Dipannita's Digital Presence &amp; E-commerce report, reviewed Anirudhra's Platform Data Collection report, reviewed Saloni's Product Portfolio and Innovation analysis, followed up on pending columns and daily reporting updates, identified remaining gaps in the Master Matrix, and coordinated final corrections before report preparation.</t>
  </si>
  <si>
    <t>Project-wide review of all competitors currently present in the Master Matrix</t>
  </si>
  <si>
    <t>Verify all pending updates, complete final Master Matrix review, coordinate dashboard preparation after data freeze, begin consolidation of findings, and prepare final report structure for Dharati Dhan</t>
  </si>
  <si>
    <t>Final Database Sanitization, Hold Row Re-alignment, Dashboard Expansion, and Governance Ledger Compilation</t>
  </si>
  <si>
    <t>Conducted final forensic audit of 48 records. Purged Swastik Seeds duplicate (Row 27). Corrected target shift on Hold Sheet to reinstate Ormajhi FPO (Row 17) and exclude duplicate (Row 18). Upgraded Threat Summary dashboard to an elite 5-column layout. Compiled the Operational Governance &amp; QA Master Ledger and set Project Tracker workflow states to 100% complete.</t>
  </si>
  <si>
    <t>Hold Sheet row-indexing shift (Fully Resolved)</t>
  </si>
  <si>
    <t>Formally hand over the certified, production-ready master matrix and ledger to Shravan for final deck compilation.</t>
  </si>
  <si>
    <t xml:space="preserve"> created excel sheet for Product Portfolio Analysis,Service Model Analysis,product gap analysis,Innovation Opportunity Matrix also created master competitor matrix sheet </t>
  </si>
  <si>
    <t>no</t>
  </si>
  <si>
    <t>Continue updating excel sheet with remaining competitor list for updating Final Master Competitor Matrix and working on Product Overlaping</t>
  </si>
  <si>
    <t>Final Data Handover, Executive Presentation Support, and System Monitoring</t>
  </si>
  <si>
    <t xml:space="preserve"> Enforced final QA override on N.B. Enterprises to protect dashboard math. Formally handed over the locked, production-ready Master Matrix to Shravan and provided data support for the final executive slide deck compilation.</t>
  </si>
  <si>
    <t>None - Dashboard is mathematically stable.</t>
  </si>
  <si>
    <t>Assist Shravan with any final data visualizations for the presentation deck and prepare for project closure.</t>
  </si>
  <si>
    <t xml:space="preserve">Working on final master competitor matrix sheet with remaining some entries of competitors  and analysing product overlapping </t>
  </si>
  <si>
    <t>Project Execution, Team Coordination, Progress Monitoring, QA Validation, Dashboard Review and Report Preparation</t>
  </si>
  <si>
    <t>Reviewed progress across assigned tasks, verified completed updates, checked dashboard and analysis outputs, coordinated with team members regarding pending work, reviewed reporting status, monitored project progress, and supported final review activities before submission.</t>
  </si>
  <si>
    <t>Analyze work completed till now, current progress, any challenges or support required.</t>
  </si>
  <si>
    <t>Successfully Analyzed my work on till ,  daily report.</t>
  </si>
  <si>
    <t xml:space="preserve">Successfully completed researching all competitors and preparing report </t>
  </si>
  <si>
    <t>Master Competitor Matrix has been completed and we are currently waiting for Sir's review before proceeding to the next phase</t>
  </si>
  <si>
    <t>Final Dashboard Automation and Pre-Submission Lock</t>
  </si>
  <si>
    <t>Applied dynamic formulas to the Threat Summary dashboard, formatted percentages, and verified the data.</t>
  </si>
  <si>
    <t>Project phase complete.</t>
  </si>
  <si>
    <t xml:space="preserve">Review, verify, and cross-check the restructured Excel competitor </t>
  </si>
  <si>
    <t>Checked the whole Excel sheet to ensure no information is missing, everything is in the right place, and all details are accurate</t>
  </si>
  <si>
    <t>Product Portfolio, Service Model and Innovation Opportunity Analysis</t>
  </si>
  <si>
    <t>To ensure all columns are correctly formatted, no values are missing, and the data is accurate and aligned with the original sheet.</t>
  </si>
  <si>
    <t>successfully Checked all columns, No missing values found.</t>
  </si>
  <si>
    <t>Coordinated the transition to dashboard development, finalized team task allocation, and planned AI-enabled dashboard integration.</t>
  </si>
  <si>
    <t>Planned the dashboard development phase, finalized team task allocation, and coordinated the next implementation workflow.</t>
  </si>
  <si>
    <t>Review team dashboard inputs, consolidate findings, and prepare the final Power BI dashboard structure.</t>
  </si>
  <si>
    <t>Attended the Meeting , new task is to understand the existing data and convert it into insights, create a dashboard focusing on Product Category &amp; Opportunity Gap.</t>
  </si>
  <si>
    <t>Analyzed the sample Sheet, understood the existing data and convert it into insights.</t>
  </si>
  <si>
    <t>continue the process</t>
  </si>
  <si>
    <t>Customer Trust, QA &amp; Key Findings Dashboard Blueprint Creation</t>
  </si>
  <si>
    <t>Successfully created the 7-sheet dashboard input framework as per Shravan's guidelines. Built the Customer Trust &amp; QA data dictionary, summarized exact metrics (48 total, 44 active threats), documented 4 key strategic findings (e.g., The Trust Illusion, The Digital Void), and constructed a presentation-ready Mini Dashboard mockup with recommended Power BI visual parameters.</t>
  </si>
  <si>
    <t>N/A (Strictly utilized finalized Master Matrix)</t>
  </si>
  <si>
    <t>None - Dashboard successfully mapped to the finalized dataset.</t>
  </si>
  <si>
    <t>Coordinate with Shravan to integrate the Customer Trust &amp; QA visual modules into the final Power BI dashboard and review cross-team insights.</t>
  </si>
  <si>
    <t xml:space="preserve"> working on existing data and convert it into insights, finding insights for  create a dashboard focusing on Product Category &amp; Opportunity Gap.</t>
  </si>
  <si>
    <t>working on excel sheets finding insights, best visuals</t>
  </si>
  <si>
    <t>Reason for Hold</t>
  </si>
  <si>
    <t>Assigned By</t>
  </si>
  <si>
    <t>Review Status</t>
  </si>
  <si>
    <t>Final Decision</t>
  </si>
  <si>
    <t>Relevant agriculture equipment, sprayers, tools, accessories, website, IndiaMART, and Justdial presence appear in the matrix, but product range and active customer-facing relevance are not fully verified yet.</t>
  </si>
  <si>
    <t>Pending Manual Verification</t>
  </si>
  <si>
    <t>Needs final phone/website/listing verification before marking as fully included competitor. Do not use as final benchmark competitor until verified.</t>
  </si>
  <si>
    <t>Business exists but operational status could not be independently verified; Justdial lists the outlet as "Closed Down".</t>
  </si>
  <si>
    <t>Pending Review</t>
  </si>
  <si>
    <t>Verify current business activity through phone call, Google Maps updates, or field verification before final inclusion.</t>
  </si>
  <si>
    <t>Competitor Count</t>
  </si>
  <si>
    <t>% of Active Competitor Market</t>
  </si>
  <si>
    <t>Audit Metric</t>
  </si>
  <si>
    <t>Count</t>
  </si>
  <si>
    <t>% of Total Records</t>
  </si>
  <si>
    <t>Notes</t>
  </si>
  <si>
    <t>High-Threat / Benchmark</t>
  </si>
  <si>
    <t>Total Records Audited</t>
  </si>
  <si>
    <t>Full Master Competitor Matrix</t>
  </si>
  <si>
    <t>Active Competitors</t>
  </si>
  <si>
    <t>Included competitors used for active market-front summary</t>
  </si>
  <si>
    <t>Kisan Mitro Enterprises; KV Sales &amp; Marketing Pvt Ltd</t>
  </si>
  <si>
    <t>Excluded / Archived</t>
  </si>
  <si>
    <t>New Holland - Ritesh Agro and Sanitary Corner</t>
  </si>
  <si>
    <t>Total Active Competitors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</si>
</sst>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d\ mmm"/>
    <numFmt numFmtId="165" formatCode="d\ mmm\ yyyy"/>
    <numFmt numFmtId="166" formatCode="yyyy&quot;-&quot;mm&quot;-&quot;dd"/>
    <numFmt numFmtId="167" formatCode="m\-d"/>
    <numFmt numFmtId="168" formatCode="yyyy\-mm\-dd"/>
  </numFmts>
  <fonts count="15" x14ac:knownFonts="1">
    <font>
      <sz val="11"/>
      <color theme="1"/>
      <name val="Calibri"/>
      <scheme val="minor"/>
    </font>
    <font>
      <b/>
      <sz val="11"/>
      <color rgb="FFFFFFFF"/>
      <name val="Calibri"/>
    </font>
    <font>
      <sz val="11"/>
      <color rgb="FF000000"/>
      <name val="Calibri"/>
    </font>
    <font>
      <b/>
      <sz val="11"/>
      <color theme="1"/>
      <name val="Calibri"/>
      <scheme val="minor"/>
    </font>
    <font>
      <u/>
      <sz val="11"/>
      <color rgb="FF000000"/>
      <name val="Calibri"/>
    </font>
    <font>
      <sz val="10"/>
      <color theme="1"/>
      <name val="Calibri"/>
      <scheme val="minor"/>
    </font>
    <font>
      <u/>
      <sz val="11"/>
      <color rgb="FF000000"/>
      <name val="Calibri"/>
    </font>
    <font>
      <u/>
      <sz val="11"/>
      <color rgb="FF0563C1"/>
      <name val="Calibri"/>
    </font>
    <font>
      <u/>
      <sz val="11"/>
      <color rgb="FF000000"/>
      <name val="Calibri"/>
    </font>
    <font>
      <u/>
      <sz val="11"/>
      <color rgb="FF000000"/>
      <name val="Calibri"/>
    </font>
    <font>
      <sz val="10"/>
      <color rgb="FF000000"/>
      <name val="Calibri"/>
      <scheme val="minor"/>
    </font>
    <font>
      <sz val="11"/>
      <color theme="1"/>
      <name val="Calibri"/>
      <scheme val="minor"/>
    </font>
    <font>
      <sz val="11"/>
      <color rgb="FF000000"/>
      <name val="Calibri"/>
      <scheme val="minor"/>
    </font>
    <font>
      <b/>
      <sz val="11"/>
      <color theme="1"/>
      <name val="Calibri"/>
    </font>
    <font>
      <b/>
      <sz val="11"/>
      <color rgb="FF000000"/>
      <name val="Calibri"/>
    </font>
  </fonts>
  <fills count="4">
    <fill>
      <patternFill patternType="none"/>
    </fill>
    <fill>
      <patternFill patternType="gray125"/>
    </fill>
    <fill>
      <patternFill patternType="solid">
        <fgColor rgb="FF1F4E78"/>
        <bgColor rgb="FF1F4E78"/>
      </patternFill>
    </fill>
    <fill>
      <patternFill patternType="solid">
        <fgColor rgb="FFDDEBF7"/>
        <bgColor rgb="FFDDEBF7"/>
      </patternFill>
    </fill>
  </fills>
  <borders count="4">
    <border>
      <left/>
      <right/>
      <top/>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s>
  <cellStyleXfs count="1">
    <xf numFmtId="0" fontId="0" fillId="0" borderId="0"/>
  </cellStyleXfs>
  <cellXfs count="52">
    <xf numFmtId="0" fontId="0" fillId="0" borderId="0" xfId="0" applyFont="1" applyAlignment="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2" fillId="0" borderId="0" xfId="0" applyFont="1" applyAlignment="1"/>
    <xf numFmtId="0" fontId="3" fillId="0" borderId="0" xfId="0" applyFont="1" applyAlignment="1">
      <alignment horizontal="center"/>
    </xf>
    <xf numFmtId="0" fontId="2" fillId="3" borderId="1" xfId="0" applyFont="1" applyFill="1" applyBorder="1" applyAlignment="1"/>
    <xf numFmtId="0" fontId="2" fillId="3" borderId="2" xfId="0" applyFont="1" applyFill="1" applyBorder="1" applyAlignment="1"/>
    <xf numFmtId="0" fontId="4" fillId="3" borderId="2" xfId="0" applyFont="1" applyFill="1" applyBorder="1" applyAlignment="1"/>
    <xf numFmtId="0" fontId="2" fillId="3" borderId="2" xfId="0" applyFont="1" applyFill="1" applyBorder="1" applyAlignment="1">
      <alignment horizontal="right"/>
    </xf>
    <xf numFmtId="164" fontId="2" fillId="3" borderId="2" xfId="0" applyNumberFormat="1" applyFont="1" applyFill="1" applyBorder="1" applyAlignment="1">
      <alignment horizontal="right"/>
    </xf>
    <xf numFmtId="0" fontId="2" fillId="3" borderId="3" xfId="0" applyFont="1" applyFill="1" applyBorder="1" applyAlignment="1"/>
    <xf numFmtId="0" fontId="2" fillId="0" borderId="0" xfId="0" applyFont="1" applyAlignment="1"/>
    <xf numFmtId="0" fontId="5" fillId="0" borderId="0" xfId="0" applyFont="1" applyAlignment="1">
      <alignment horizontal="center"/>
    </xf>
    <xf numFmtId="0" fontId="2" fillId="0" borderId="1" xfId="0" applyFont="1" applyBorder="1" applyAlignment="1"/>
    <xf numFmtId="0" fontId="2" fillId="0" borderId="2" xfId="0" applyFont="1" applyBorder="1" applyAlignment="1"/>
    <xf numFmtId="0" fontId="6" fillId="0" borderId="2" xfId="0" applyFont="1" applyBorder="1" applyAlignment="1"/>
    <xf numFmtId="0" fontId="2" fillId="0" borderId="2" xfId="0" applyFont="1" applyBorder="1" applyAlignment="1">
      <alignment horizontal="right"/>
    </xf>
    <xf numFmtId="0" fontId="2" fillId="0" borderId="3" xfId="0" applyFont="1" applyBorder="1" applyAlignment="1"/>
    <xf numFmtId="0" fontId="5" fillId="0" borderId="0" xfId="0" applyFont="1" applyAlignment="1">
      <alignment horizontal="center"/>
    </xf>
    <xf numFmtId="165" fontId="2" fillId="3" borderId="2" xfId="0" applyNumberFormat="1" applyFont="1" applyFill="1" applyBorder="1" applyAlignment="1">
      <alignment horizontal="right"/>
    </xf>
    <xf numFmtId="0" fontId="7" fillId="3" borderId="2" xfId="0" applyFont="1" applyFill="1" applyBorder="1" applyAlignment="1"/>
    <xf numFmtId="0" fontId="2" fillId="3" borderId="3" xfId="0" applyFont="1" applyFill="1" applyBorder="1" applyAlignment="1">
      <alignment wrapText="1"/>
    </xf>
    <xf numFmtId="0" fontId="2" fillId="0" borderId="0" xfId="0" applyFont="1" applyAlignment="1"/>
    <xf numFmtId="0" fontId="8" fillId="0" borderId="3" xfId="0" applyFont="1" applyBorder="1" applyAlignment="1"/>
    <xf numFmtId="0" fontId="9" fillId="3" borderId="3" xfId="0" applyFont="1" applyFill="1" applyBorder="1" applyAlignment="1"/>
    <xf numFmtId="0" fontId="10" fillId="0" borderId="0" xfId="0" applyFont="1" applyAlignment="1">
      <alignment horizontal="center"/>
    </xf>
    <xf numFmtId="0" fontId="5" fillId="0" borderId="0" xfId="0" applyFont="1" applyAlignment="1">
      <alignment horizontal="center"/>
    </xf>
    <xf numFmtId="0" fontId="0" fillId="0" borderId="0" xfId="0" applyFont="1" applyAlignment="1">
      <alignment horizontal="center"/>
    </xf>
    <xf numFmtId="0" fontId="11" fillId="0" borderId="0" xfId="0" applyFont="1" applyAlignment="1">
      <alignment horizontal="center"/>
    </xf>
    <xf numFmtId="0" fontId="12" fillId="0" borderId="0" xfId="0" applyFont="1" applyAlignment="1">
      <alignment horizontal="center"/>
    </xf>
    <xf numFmtId="0" fontId="11" fillId="0" borderId="0" xfId="0" applyFont="1" applyAlignment="1">
      <alignment horizontal="center"/>
    </xf>
    <xf numFmtId="0" fontId="11" fillId="0" borderId="0" xfId="0" applyFont="1" applyAlignment="1">
      <alignment horizontal="center"/>
    </xf>
    <xf numFmtId="166" fontId="13" fillId="0" borderId="0" xfId="0" applyNumberFormat="1" applyFont="1" applyAlignment="1">
      <alignment horizontal="center"/>
    </xf>
    <xf numFmtId="0" fontId="13" fillId="0" borderId="0" xfId="0" applyFont="1" applyAlignment="1">
      <alignment horizontal="center"/>
    </xf>
    <xf numFmtId="166" fontId="11" fillId="0" borderId="0" xfId="0" applyNumberFormat="1" applyFont="1" applyAlignment="1">
      <alignment horizontal="center"/>
    </xf>
    <xf numFmtId="0" fontId="0" fillId="0" borderId="0" xfId="0" applyFont="1" applyAlignment="1">
      <alignment horizontal="center"/>
    </xf>
    <xf numFmtId="167" fontId="11" fillId="0" borderId="0" xfId="0" applyNumberFormat="1" applyFont="1" applyAlignment="1">
      <alignment horizontal="center"/>
    </xf>
    <xf numFmtId="168" fontId="11" fillId="0" borderId="0" xfId="0" applyNumberFormat="1" applyFont="1" applyAlignment="1">
      <alignment horizontal="center" wrapText="1"/>
    </xf>
    <xf numFmtId="0" fontId="11" fillId="0" borderId="0" xfId="0" applyFont="1" applyAlignment="1">
      <alignment horizontal="center" wrapText="1"/>
    </xf>
    <xf numFmtId="166" fontId="11" fillId="0" borderId="0" xfId="0" applyNumberFormat="1" applyFont="1" applyAlignment="1">
      <alignment horizontal="center"/>
    </xf>
    <xf numFmtId="0" fontId="1" fillId="2" borderId="0" xfId="0" applyFont="1" applyFill="1" applyAlignment="1">
      <alignment horizontal="center"/>
    </xf>
    <xf numFmtId="0" fontId="1" fillId="2" borderId="0" xfId="0" applyFont="1" applyFill="1" applyAlignment="1">
      <alignment horizontal="center"/>
    </xf>
    <xf numFmtId="0" fontId="2" fillId="0" borderId="0" xfId="0" applyFont="1" applyAlignment="1"/>
    <xf numFmtId="0" fontId="2" fillId="0" borderId="0" xfId="0" applyFont="1" applyAlignment="1">
      <alignment horizontal="right"/>
    </xf>
    <xf numFmtId="10" fontId="2" fillId="0" borderId="0" xfId="0" applyNumberFormat="1" applyFont="1" applyAlignment="1">
      <alignment horizontal="right"/>
    </xf>
    <xf numFmtId="0" fontId="2" fillId="0" borderId="0" xfId="0" applyFont="1" applyAlignment="1">
      <alignment horizontal="right"/>
    </xf>
    <xf numFmtId="10" fontId="2" fillId="0" borderId="0" xfId="0" applyNumberFormat="1" applyFont="1" applyAlignment="1">
      <alignment horizontal="right"/>
    </xf>
    <xf numFmtId="0" fontId="2" fillId="0" borderId="0" xfId="0" applyFont="1" applyAlignment="1"/>
    <xf numFmtId="0" fontId="14" fillId="0" borderId="0" xfId="0" applyFont="1" applyAlignment="1"/>
    <xf numFmtId="0" fontId="14" fillId="0" borderId="0" xfId="0" applyFont="1" applyAlignment="1">
      <alignment horizontal="right"/>
    </xf>
    <xf numFmtId="10" fontId="14"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maps.app.goo.gl/VeqhdyH9sigYEWtw8" TargetMode="External"/><Relationship Id="rId21" Type="http://schemas.openxmlformats.org/officeDocument/2006/relationships/hyperlink" Target="https://maps.app.goo.gl/8AkYp7zWV17CaWAC8" TargetMode="External"/><Relationship Id="rId42" Type="http://schemas.openxmlformats.org/officeDocument/2006/relationships/hyperlink" Target="https://maps.app.goo.gl/caYsfMJks3GpqS9u7" TargetMode="External"/><Relationship Id="rId47" Type="http://schemas.openxmlformats.org/officeDocument/2006/relationships/hyperlink" Target="https://maps.app.goo.gl/5yLw5y6kHns5GH4Q7" TargetMode="External"/><Relationship Id="rId63" Type="http://schemas.openxmlformats.org/officeDocument/2006/relationships/hyperlink" Target="https://maps.app.goo.gl/Xok85ZQMjfWnYKdAA" TargetMode="External"/><Relationship Id="rId68" Type="http://schemas.openxmlformats.org/officeDocument/2006/relationships/hyperlink" Target="https://maps.app.goo.gl/u5YG8VZ8hLW65QHCA" TargetMode="External"/><Relationship Id="rId84" Type="http://schemas.openxmlformats.org/officeDocument/2006/relationships/hyperlink" Target="https://jsdl.in/DT-51IMI2AMQAY" TargetMode="External"/><Relationship Id="rId89" Type="http://schemas.openxmlformats.org/officeDocument/2006/relationships/hyperlink" Target="https://jsdl.in/DT-516JAL5GDQI" TargetMode="External"/><Relationship Id="rId16" Type="http://schemas.openxmlformats.org/officeDocument/2006/relationships/hyperlink" Target="https://www.instagram.com/nehatractors/" TargetMode="External"/><Relationship Id="rId107" Type="http://schemas.openxmlformats.org/officeDocument/2006/relationships/hyperlink" Target="https://www.facebook.com/p/The-Flower-Kingdom-Trading-Co-100064710490240/" TargetMode="External"/><Relationship Id="rId11" Type="http://schemas.openxmlformats.org/officeDocument/2006/relationships/hyperlink" Target="https://www.facebook.com/dhartidhan0/reels/" TargetMode="External"/><Relationship Id="rId32" Type="http://schemas.openxmlformats.org/officeDocument/2006/relationships/hyperlink" Target="https://ram726.github.io/DBB/" TargetMode="External"/><Relationship Id="rId37" Type="http://schemas.openxmlformats.org/officeDocument/2006/relationships/hyperlink" Target="https://maps.app.goo.gl/XPF4Ta4SPVdHjPrM8" TargetMode="External"/><Relationship Id="rId53" Type="http://schemas.openxmlformats.org/officeDocument/2006/relationships/hyperlink" Target="https://www.linkedin.com/company/jharkhand-nursery/posts/?feedView=all" TargetMode="External"/><Relationship Id="rId58" Type="http://schemas.openxmlformats.org/officeDocument/2006/relationships/hyperlink" Target="https://kisanmitro.shop/" TargetMode="External"/><Relationship Id="rId74" Type="http://schemas.openxmlformats.org/officeDocument/2006/relationships/hyperlink" Target="https://maps.app.goo.gl/VGWLCBn72RqPCiUx5" TargetMode="External"/><Relationship Id="rId79" Type="http://schemas.openxmlformats.org/officeDocument/2006/relationships/hyperlink" Target="https://maps.app.goo.gl/dK4pxxxJrh5HDovo8" TargetMode="External"/><Relationship Id="rId102" Type="http://schemas.openxmlformats.org/officeDocument/2006/relationships/hyperlink" Target="https://maps.app.goo.gl/CjVH7YoHAFu1Dj576" TargetMode="External"/><Relationship Id="rId5" Type="http://schemas.openxmlformats.org/officeDocument/2006/relationships/hyperlink" Target="https://www.youtube.com/@priyaagrico7763" TargetMode="External"/><Relationship Id="rId90" Type="http://schemas.openxmlformats.org/officeDocument/2006/relationships/hyperlink" Target="https://maps.app.goo.gl/TN5QHBr9P85qZm2n8" TargetMode="External"/><Relationship Id="rId95" Type="http://schemas.openxmlformats.org/officeDocument/2006/relationships/hyperlink" Target="https://maps.app.goo.gl/YAXszWZy6zdakGo69" TargetMode="External"/><Relationship Id="rId22" Type="http://schemas.openxmlformats.org/officeDocument/2006/relationships/hyperlink" Target="https://dealer.mahindratractor.com/mahindra-tractors/tractor-showroom-in-ranchi/tractor-showroom-in-upper-bazar/mahindra-tractors-the-republic-private-limited-in-upper-bazar-ranchi--b8038398-f304-4cb2-ac94-47a92ccb46e6/home" TargetMode="External"/><Relationship Id="rId27" Type="http://schemas.openxmlformats.org/officeDocument/2006/relationships/hyperlink" Target="https://maps.app.goo.gl/dKriBHuvxPGhyP2j6" TargetMode="External"/><Relationship Id="rId43" Type="http://schemas.openxmlformats.org/officeDocument/2006/relationships/hyperlink" Target="https://nirmalseedsindia.com/" TargetMode="External"/><Relationship Id="rId48" Type="http://schemas.openxmlformats.org/officeDocument/2006/relationships/hyperlink" Target="https://www.instagram.com/rootrees/" TargetMode="External"/><Relationship Id="rId64" Type="http://schemas.openxmlformats.org/officeDocument/2006/relationships/hyperlink" Target="http://www.sashankaagrotech.com/" TargetMode="External"/><Relationship Id="rId69" Type="http://schemas.openxmlformats.org/officeDocument/2006/relationships/hyperlink" Target="https://npkagric.com/" TargetMode="External"/><Relationship Id="rId80" Type="http://schemas.openxmlformats.org/officeDocument/2006/relationships/hyperlink" Target="https://jsdl.in/DT-516EQA6MYUY" TargetMode="External"/><Relationship Id="rId85" Type="http://schemas.openxmlformats.org/officeDocument/2006/relationships/hyperlink" Target="https://maps.app.goo.gl/7ErQQNqwcxzAYtZcA" TargetMode="External"/><Relationship Id="rId12" Type="http://schemas.openxmlformats.org/officeDocument/2006/relationships/hyperlink" Target="https://maps.app.goo.gl/47uygaktcP2usXRU7" TargetMode="External"/><Relationship Id="rId17" Type="http://schemas.openxmlformats.org/officeDocument/2006/relationships/hyperlink" Target="https://www.youtube.com/@nehatractors9687" TargetMode="External"/><Relationship Id="rId33" Type="http://schemas.openxmlformats.org/officeDocument/2006/relationships/hyperlink" Target="https://ram726.github.io/DBB/" TargetMode="External"/><Relationship Id="rId38" Type="http://schemas.openxmlformats.org/officeDocument/2006/relationships/hyperlink" Target="https://jsdl.in/DT-51XG5TZYV1K" TargetMode="External"/><Relationship Id="rId59" Type="http://schemas.openxmlformats.org/officeDocument/2006/relationships/hyperlink" Target="https://maps.app.goo.gl/DsN9A9LpR3MPkagh6" TargetMode="External"/><Relationship Id="rId103" Type="http://schemas.openxmlformats.org/officeDocument/2006/relationships/hyperlink" Target="https://maps.app.goo.gl/EsKDRFo8ATAyZBqZ6" TargetMode="External"/><Relationship Id="rId108" Type="http://schemas.openxmlformats.org/officeDocument/2006/relationships/hyperlink" Target="https://www.instagram.com/theflowerkingdomranchi/" TargetMode="External"/><Relationship Id="rId20" Type="http://schemas.openxmlformats.org/officeDocument/2006/relationships/hyperlink" Target="https://www.instagram.com/hitechtractors45/" TargetMode="External"/><Relationship Id="rId41" Type="http://schemas.openxmlformats.org/officeDocument/2006/relationships/hyperlink" Target="https://jsdl.in/DT-51YNJSVU" TargetMode="External"/><Relationship Id="rId54" Type="http://schemas.openxmlformats.org/officeDocument/2006/relationships/hyperlink" Target="https://jsdl.in/DT-51E226UUEQM" TargetMode="External"/><Relationship Id="rId62" Type="http://schemas.openxmlformats.org/officeDocument/2006/relationships/hyperlink" Target="https://maps.app.goo.gl/d7RWURocQgTbG7x2A" TargetMode="External"/><Relationship Id="rId70" Type="http://schemas.openxmlformats.org/officeDocument/2006/relationships/hyperlink" Target="https://in.linkedin.com/company/npk-agric" TargetMode="External"/><Relationship Id="rId75" Type="http://schemas.openxmlformats.org/officeDocument/2006/relationships/hyperlink" Target="https://www.facebook.com/riya.nursery/" TargetMode="External"/><Relationship Id="rId83" Type="http://schemas.openxmlformats.org/officeDocument/2006/relationships/hyperlink" Target="https://www.instagram.com/shalimar.nursery/" TargetMode="External"/><Relationship Id="rId88" Type="http://schemas.openxmlformats.org/officeDocument/2006/relationships/hyperlink" Target="https://www.ormajhi-fpcl.com/" TargetMode="External"/><Relationship Id="rId91" Type="http://schemas.openxmlformats.org/officeDocument/2006/relationships/hyperlink" Target="https://jsdl.in/DT-51UUQQAME66" TargetMode="External"/><Relationship Id="rId96" Type="http://schemas.openxmlformats.org/officeDocument/2006/relationships/hyperlink" Target="http://jains.com/" TargetMode="External"/><Relationship Id="rId1" Type="http://schemas.openxmlformats.org/officeDocument/2006/relationships/hyperlink" Target="https://maps.app.goo.gl/uDhjbAgTPSph5JvX7" TargetMode="External"/><Relationship Id="rId6" Type="http://schemas.openxmlformats.org/officeDocument/2006/relationships/hyperlink" Target="https://maps.app.goo.gl/Pre4MhswH2C7MGK38" TargetMode="External"/><Relationship Id="rId15" Type="http://schemas.openxmlformats.org/officeDocument/2006/relationships/hyperlink" Target="https://www.facebook.com/nehatractorsranchi/" TargetMode="External"/><Relationship Id="rId23" Type="http://schemas.openxmlformats.org/officeDocument/2006/relationships/hyperlink" Target="https://www.facebook.com/TheRepublicPrivateLimited/" TargetMode="External"/><Relationship Id="rId28" Type="http://schemas.openxmlformats.org/officeDocument/2006/relationships/hyperlink" Target="https://maps.app.goo.gl/sXvzGzm7aHzHm3Um7" TargetMode="External"/><Relationship Id="rId36" Type="http://schemas.openxmlformats.org/officeDocument/2006/relationships/hyperlink" Target="https://maps.app.goo.gl/kccKD3XDu9q4AVFU8" TargetMode="External"/><Relationship Id="rId49" Type="http://schemas.openxmlformats.org/officeDocument/2006/relationships/hyperlink" Target="https://jsdl.in/DT-51VXKXRZENR" TargetMode="External"/><Relationship Id="rId57" Type="http://schemas.openxmlformats.org/officeDocument/2006/relationships/hyperlink" Target="https://maps.app.goo.gl/ZyEHf3scMN4jVq417?g_st=aw" TargetMode="External"/><Relationship Id="rId106" Type="http://schemas.openxmlformats.org/officeDocument/2006/relationships/hyperlink" Target="https://theflowerkingdom.in/" TargetMode="External"/><Relationship Id="rId10" Type="http://schemas.openxmlformats.org/officeDocument/2006/relationships/hyperlink" Target="https://maps.app.goo.gl/9syzviLo9aLedeid6" TargetMode="External"/><Relationship Id="rId31" Type="http://schemas.openxmlformats.org/officeDocument/2006/relationships/hyperlink" Target="https://jsdl.in/DT-51QAIM26YAE" TargetMode="External"/><Relationship Id="rId44" Type="http://schemas.openxmlformats.org/officeDocument/2006/relationships/hyperlink" Target="https://www.linkedin.com/company/nirmal-seeds-india-pvt-ltd/" TargetMode="External"/><Relationship Id="rId52" Type="http://schemas.openxmlformats.org/officeDocument/2006/relationships/hyperlink" Target="https://www.facebook.com/profile.php?id=100091772888241" TargetMode="External"/><Relationship Id="rId60" Type="http://schemas.openxmlformats.org/officeDocument/2006/relationships/hyperlink" Target="https://maps.app.goo.gl/ApwobwDb3qfiLCSXA" TargetMode="External"/><Relationship Id="rId65" Type="http://schemas.openxmlformats.org/officeDocument/2006/relationships/hyperlink" Target="https://in.linkedin.com/company/sashanka-agro-tech-p-ltd" TargetMode="External"/><Relationship Id="rId73" Type="http://schemas.openxmlformats.org/officeDocument/2006/relationships/hyperlink" Target="https://www.linkedin.com/in/shankar-nursery-0401b5371/?utm_source=chatgpt%2Ecom&amp;originalSubdomain=in" TargetMode="External"/><Relationship Id="rId78" Type="http://schemas.openxmlformats.org/officeDocument/2006/relationships/hyperlink" Target="https://maps.app.goo.gl/nzkLJ8quevJzF93M8" TargetMode="External"/><Relationship Id="rId81" Type="http://schemas.openxmlformats.org/officeDocument/2006/relationships/hyperlink" Target="https://maps.app.goo.gl/SQyobcKaEvW2ZjCj7" TargetMode="External"/><Relationship Id="rId86" Type="http://schemas.openxmlformats.org/officeDocument/2006/relationships/hyperlink" Target="https://jsdl.in/DT-51SFC8R7KHU" TargetMode="External"/><Relationship Id="rId94" Type="http://schemas.openxmlformats.org/officeDocument/2006/relationships/hyperlink" Target="https://jsdl.in/DT-51UMIIMMYQI" TargetMode="External"/><Relationship Id="rId99" Type="http://schemas.openxmlformats.org/officeDocument/2006/relationships/hyperlink" Target="https://in.linkedin.com/company/jain-irrigation-systems-ltd-" TargetMode="External"/><Relationship Id="rId101" Type="http://schemas.openxmlformats.org/officeDocument/2006/relationships/hyperlink" Target="https://www.facebook.com/SanitaryCornerRanchi/" TargetMode="External"/><Relationship Id="rId4" Type="http://schemas.openxmlformats.org/officeDocument/2006/relationships/hyperlink" Target="https://www.instagram.com/priyaagrico/" TargetMode="External"/><Relationship Id="rId9" Type="http://schemas.openxmlformats.org/officeDocument/2006/relationships/hyperlink" Target="https://www.facebook.com/perfectagrosolutions/" TargetMode="External"/><Relationship Id="rId13" Type="http://schemas.openxmlformats.org/officeDocument/2006/relationships/hyperlink" Target="https://www.justdial.com/Ranchi/Jharkhand-Agri-Centre-Opposite-To-Sbi-Bank-Circular-Road/0651PX651-X651-190701115537-U6Q8_BZDET" TargetMode="External"/><Relationship Id="rId18" Type="http://schemas.openxmlformats.org/officeDocument/2006/relationships/hyperlink" Target="https://maps.app.goo.gl/UjvFENZSvNSGLCTr6" TargetMode="External"/><Relationship Id="rId39" Type="http://schemas.openxmlformats.org/officeDocument/2006/relationships/hyperlink" Target="https://maps.app.goo.gl/JLCJVSwrZ5Z7kKzG6" TargetMode="External"/><Relationship Id="rId34" Type="http://schemas.openxmlformats.org/officeDocument/2006/relationships/hyperlink" Target="https://jsdl.in/DT-51XU6XGZ7PX" TargetMode="External"/><Relationship Id="rId50" Type="http://schemas.openxmlformats.org/officeDocument/2006/relationships/hyperlink" Target="https://maps.app.goo.gl/JdGXHAo9PR8zxuWT7" TargetMode="External"/><Relationship Id="rId55" Type="http://schemas.openxmlformats.org/officeDocument/2006/relationships/hyperlink" Target="https://maps.app.goo.gl/Qkh6At5KEFs3JGLJ9" TargetMode="External"/><Relationship Id="rId76" Type="http://schemas.openxmlformats.org/officeDocument/2006/relationships/hyperlink" Target="https://www.instagram.com/riya.nursery/" TargetMode="External"/><Relationship Id="rId97" Type="http://schemas.openxmlformats.org/officeDocument/2006/relationships/hyperlink" Target="https://www.facebook.com/JainIrrigationSystems" TargetMode="External"/><Relationship Id="rId104" Type="http://schemas.openxmlformats.org/officeDocument/2006/relationships/hyperlink" Target="https://maps.app.goo.gl/rbUHaxPxe6k4Rh7n6" TargetMode="External"/><Relationship Id="rId7" Type="http://schemas.openxmlformats.org/officeDocument/2006/relationships/hyperlink" Target="http://www.agro-vision.in/" TargetMode="External"/><Relationship Id="rId71" Type="http://schemas.openxmlformats.org/officeDocument/2006/relationships/hyperlink" Target="https://maps.app.goo.gl/WyzALoiAEt96cspd6" TargetMode="External"/><Relationship Id="rId92" Type="http://schemas.openxmlformats.org/officeDocument/2006/relationships/hyperlink" Target="https://maps.app.goo.gl/bezQqgWrU3n4wTMLA" TargetMode="External"/><Relationship Id="rId2" Type="http://schemas.openxmlformats.org/officeDocument/2006/relationships/hyperlink" Target="https://www.priyaagrico.com/" TargetMode="External"/><Relationship Id="rId29" Type="http://schemas.openxmlformats.org/officeDocument/2006/relationships/hyperlink" Target="https://www.facebook.com/greencentre.in/" TargetMode="External"/><Relationship Id="rId24" Type="http://schemas.openxmlformats.org/officeDocument/2006/relationships/hyperlink" Target="https://www.justdial.com/Ranchi/M-B-Pumps-Machinery-Lower-Bazar/0651PX651-X651-220521210759-A7P7_BZDET" TargetMode="External"/><Relationship Id="rId40" Type="http://schemas.openxmlformats.org/officeDocument/2006/relationships/hyperlink" Target="https://maps.app.goo.gl/eLbzdNZXbafx1PP97" TargetMode="External"/><Relationship Id="rId45" Type="http://schemas.openxmlformats.org/officeDocument/2006/relationships/hyperlink" Target="https://maps.app.goo.gl/A1RDAeYcPAHg2XYF6" TargetMode="External"/><Relationship Id="rId66" Type="http://schemas.openxmlformats.org/officeDocument/2006/relationships/hyperlink" Target="https://maps.app.goo.gl/amnBTaTzvLtPtXuMA" TargetMode="External"/><Relationship Id="rId87" Type="http://schemas.openxmlformats.org/officeDocument/2006/relationships/hyperlink" Target="https://maps.app.goo.gl/RxBRpVNDLUZFxcw66" TargetMode="External"/><Relationship Id="rId61" Type="http://schemas.openxmlformats.org/officeDocument/2006/relationships/hyperlink" Target="https://nishechan.com/" TargetMode="External"/><Relationship Id="rId82" Type="http://schemas.openxmlformats.org/officeDocument/2006/relationships/hyperlink" Target="https://www.facebook.com/Shalimarsadabaharnursery/" TargetMode="External"/><Relationship Id="rId19" Type="http://schemas.openxmlformats.org/officeDocument/2006/relationships/hyperlink" Target="https://www.facebook.com/hitechjohndeere/" TargetMode="External"/><Relationship Id="rId14" Type="http://schemas.openxmlformats.org/officeDocument/2006/relationships/hyperlink" Target="https://maps.app.goo.gl/t89xScoaymp3juDE6" TargetMode="External"/><Relationship Id="rId30" Type="http://schemas.openxmlformats.org/officeDocument/2006/relationships/hyperlink" Target="https://jsdl.in/DT-51QAIM26YAE" TargetMode="External"/><Relationship Id="rId35" Type="http://schemas.openxmlformats.org/officeDocument/2006/relationships/hyperlink" Target="https://maps.app.goo.gl/upkV8yjYkeQK9XpT9" TargetMode="External"/><Relationship Id="rId56" Type="http://schemas.openxmlformats.org/officeDocument/2006/relationships/hyperlink" Target="https://www.instagram.com/babyplant.in/" TargetMode="External"/><Relationship Id="rId77" Type="http://schemas.openxmlformats.org/officeDocument/2006/relationships/hyperlink" Target="https://jsdl.in/DT-51WHE3I24LJ" TargetMode="External"/><Relationship Id="rId100" Type="http://schemas.openxmlformats.org/officeDocument/2006/relationships/hyperlink" Target="https://maps.app.goo.gl/hhmy24a2GRKFNiZE8" TargetMode="External"/><Relationship Id="rId105" Type="http://schemas.openxmlformats.org/officeDocument/2006/relationships/hyperlink" Target="https://maps.app.goo.gl/QYR3vJTzsihaacR96" TargetMode="External"/><Relationship Id="rId8" Type="http://schemas.openxmlformats.org/officeDocument/2006/relationships/hyperlink" Target="https://maps.app.goo.gl/afxL3WPaxhxBBpGbA" TargetMode="External"/><Relationship Id="rId51" Type="http://schemas.openxmlformats.org/officeDocument/2006/relationships/hyperlink" Target="https://jharkhandnursery.com/" TargetMode="External"/><Relationship Id="rId72" Type="http://schemas.openxmlformats.org/officeDocument/2006/relationships/hyperlink" Target="https://shankarnursery.co.in/" TargetMode="External"/><Relationship Id="rId93" Type="http://schemas.openxmlformats.org/officeDocument/2006/relationships/hyperlink" Target="https://maps.app.goo.gl/VndnTa9fXKSE5uq48" TargetMode="External"/><Relationship Id="rId98" Type="http://schemas.openxmlformats.org/officeDocument/2006/relationships/hyperlink" Target="https://www.instagram.com/jainirrigation_" TargetMode="External"/><Relationship Id="rId3" Type="http://schemas.openxmlformats.org/officeDocument/2006/relationships/hyperlink" Target="https://www.facebook.com/PRIYAAGRICO/" TargetMode="External"/><Relationship Id="rId25" Type="http://schemas.openxmlformats.org/officeDocument/2006/relationships/hyperlink" Target="https://jsdl.in/DT-51PUVRLZSRH" TargetMode="External"/><Relationship Id="rId46" Type="http://schemas.openxmlformats.org/officeDocument/2006/relationships/hyperlink" Target="https://jsdl.in/DT-51CFD5UQICI" TargetMode="External"/><Relationship Id="rId67" Type="http://schemas.openxmlformats.org/officeDocument/2006/relationships/hyperlink" Target="https://swastikseed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999"/>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defaultColWidth="14.44140625" defaultRowHeight="15" customHeight="1" x14ac:dyDescent="0.3"/>
  <cols>
    <col min="1" max="1" width="46.33203125" customWidth="1"/>
    <col min="2" max="2" width="46" customWidth="1"/>
    <col min="3" max="3" width="41.6640625" customWidth="1"/>
    <col min="4" max="4" width="136.88671875" customWidth="1"/>
    <col min="5" max="5" width="28" customWidth="1"/>
    <col min="6" max="6" width="29" customWidth="1"/>
    <col min="7" max="7" width="135.6640625" customWidth="1"/>
    <col min="8" max="8" width="150.44140625" customWidth="1"/>
    <col min="9" max="9" width="20.88671875" customWidth="1"/>
    <col min="10" max="10" width="50" customWidth="1"/>
    <col min="11" max="11" width="21.44140625" customWidth="1"/>
    <col min="12" max="12" width="10.33203125" customWidth="1"/>
    <col min="13" max="13" width="8.6640625" customWidth="1"/>
    <col min="14" max="14" width="9.33203125" customWidth="1"/>
    <col min="15" max="15" width="8.33203125" customWidth="1"/>
    <col min="16" max="16" width="5.44140625" customWidth="1"/>
    <col min="17" max="17" width="8.6640625" customWidth="1"/>
    <col min="18" max="18" width="15.44140625" customWidth="1"/>
    <col min="19" max="19" width="14.5546875" customWidth="1"/>
    <col min="20" max="20" width="16.88671875" customWidth="1"/>
    <col min="21" max="21" width="10.5546875" customWidth="1"/>
    <col min="22" max="22" width="26.109375" customWidth="1"/>
    <col min="23" max="24" width="12.6640625" customWidth="1"/>
    <col min="25" max="25" width="14.33203125" customWidth="1"/>
    <col min="26" max="26" width="13.33203125" customWidth="1"/>
    <col min="27" max="27" width="41" customWidth="1"/>
    <col min="28" max="28" width="47.5546875" customWidth="1"/>
    <col min="29" max="29" width="39.44140625" customWidth="1"/>
    <col min="30" max="30" width="23.33203125" customWidth="1"/>
    <col min="31" max="31" width="23" customWidth="1"/>
    <col min="32" max="32" width="22.109375" customWidth="1"/>
    <col min="33" max="33" width="10" customWidth="1"/>
    <col min="34" max="34" width="11" customWidth="1"/>
    <col min="35" max="35" width="58.44140625" customWidth="1"/>
    <col min="36" max="36" width="42.44140625" customWidth="1"/>
    <col min="37" max="37" width="71.5546875" customWidth="1"/>
    <col min="38" max="38" width="45.5546875" customWidth="1"/>
    <col min="39" max="39" width="18.6640625" customWidth="1"/>
    <col min="40" max="40" width="22.33203125" customWidth="1"/>
    <col min="41" max="41" width="14.6640625" customWidth="1"/>
    <col min="42" max="42" width="12.88671875" customWidth="1"/>
    <col min="43" max="43" width="13.33203125" customWidth="1"/>
    <col min="44" max="44" width="39.33203125" customWidth="1"/>
    <col min="45" max="45" width="18.88671875" customWidth="1"/>
    <col min="46" max="46" width="12" customWidth="1"/>
    <col min="47" max="47" width="10.109375" customWidth="1"/>
    <col min="48" max="48" width="30.88671875" customWidth="1"/>
    <col min="49" max="49" width="32.33203125" customWidth="1"/>
    <col min="50" max="50" width="20.33203125" customWidth="1"/>
    <col min="51" max="51" width="80.109375" customWidth="1"/>
    <col min="52" max="52" width="12.88671875" customWidth="1"/>
    <col min="53" max="53" width="16.33203125" customWidth="1"/>
    <col min="54" max="54" width="10.33203125" customWidth="1"/>
    <col min="55" max="55" width="11.5546875" customWidth="1"/>
    <col min="56" max="56" width="26.33203125" customWidth="1"/>
    <col min="57" max="57" width="251.109375" customWidth="1"/>
    <col min="58" max="58" width="307.109375" customWidth="1"/>
    <col min="59" max="60" width="28.33203125" customWidth="1"/>
  </cols>
  <sheetData>
    <row r="1" spans="1:60" ht="14.4"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3" t="s">
        <v>57</v>
      </c>
      <c r="BG1" s="4"/>
      <c r="BH1" s="5"/>
    </row>
    <row r="2" spans="1:60" ht="15.75" customHeight="1" x14ac:dyDescent="0.3">
      <c r="A2" s="6" t="s">
        <v>58</v>
      </c>
      <c r="B2" s="7" t="s">
        <v>58</v>
      </c>
      <c r="C2" s="7" t="s">
        <v>59</v>
      </c>
      <c r="D2" s="7" t="s">
        <v>60</v>
      </c>
      <c r="E2" s="7" t="s">
        <v>61</v>
      </c>
      <c r="F2" s="7" t="s">
        <v>62</v>
      </c>
      <c r="G2" s="8" t="s">
        <v>63</v>
      </c>
      <c r="H2" s="7" t="s">
        <v>64</v>
      </c>
      <c r="I2" s="7" t="s">
        <v>65</v>
      </c>
      <c r="J2" s="7" t="s">
        <v>66</v>
      </c>
      <c r="K2" s="7" t="s">
        <v>67</v>
      </c>
      <c r="L2" s="7" t="s">
        <v>68</v>
      </c>
      <c r="M2" s="7" t="s">
        <v>68</v>
      </c>
      <c r="N2" s="7" t="s">
        <v>68</v>
      </c>
      <c r="O2" s="7" t="s">
        <v>68</v>
      </c>
      <c r="P2" s="7" t="s">
        <v>68</v>
      </c>
      <c r="Q2" s="7" t="s">
        <v>69</v>
      </c>
      <c r="R2" s="7" t="s">
        <v>68</v>
      </c>
      <c r="S2" s="7" t="s">
        <v>68</v>
      </c>
      <c r="T2" s="7" t="s">
        <v>68</v>
      </c>
      <c r="U2" s="7" t="s">
        <v>68</v>
      </c>
      <c r="V2" s="7" t="s">
        <v>70</v>
      </c>
      <c r="W2" s="7" t="s">
        <v>68</v>
      </c>
      <c r="X2" s="9">
        <v>4.5</v>
      </c>
      <c r="Y2" s="9">
        <v>125</v>
      </c>
      <c r="Z2" s="7" t="s">
        <v>68</v>
      </c>
      <c r="AA2" s="7" t="s">
        <v>71</v>
      </c>
      <c r="AB2" s="8" t="s">
        <v>72</v>
      </c>
      <c r="AC2" s="7" t="s">
        <v>73</v>
      </c>
      <c r="AD2" s="7" t="s">
        <v>68</v>
      </c>
      <c r="AE2" s="7" t="s">
        <v>68</v>
      </c>
      <c r="AF2" s="7" t="s">
        <v>68</v>
      </c>
      <c r="AG2" s="7" t="s">
        <v>69</v>
      </c>
      <c r="AH2" s="7" t="s">
        <v>74</v>
      </c>
      <c r="AI2" s="8" t="s">
        <v>75</v>
      </c>
      <c r="AJ2" s="8" t="s">
        <v>76</v>
      </c>
      <c r="AK2" s="7" t="s">
        <v>74</v>
      </c>
      <c r="AL2" s="8" t="s">
        <v>77</v>
      </c>
      <c r="AM2" s="9">
        <v>4</v>
      </c>
      <c r="AN2" s="7" t="s">
        <v>78</v>
      </c>
      <c r="AO2" s="9">
        <v>15</v>
      </c>
      <c r="AP2" s="10">
        <v>46036</v>
      </c>
      <c r="AQ2" s="9">
        <v>23</v>
      </c>
      <c r="AR2" s="7" t="s">
        <v>68</v>
      </c>
      <c r="AS2" s="7" t="s">
        <v>74</v>
      </c>
      <c r="AT2" s="7" t="s">
        <v>74</v>
      </c>
      <c r="AU2" s="7" t="s">
        <v>74</v>
      </c>
      <c r="AV2" s="7" t="s">
        <v>69</v>
      </c>
      <c r="AW2" s="7" t="s">
        <v>68</v>
      </c>
      <c r="AX2" s="7" t="s">
        <v>69</v>
      </c>
      <c r="AY2" s="7" t="s">
        <v>79</v>
      </c>
      <c r="AZ2" s="7" t="s">
        <v>74</v>
      </c>
      <c r="BA2" s="7" t="s">
        <v>74</v>
      </c>
      <c r="BB2" s="7" t="s">
        <v>74</v>
      </c>
      <c r="BC2" s="9">
        <v>65</v>
      </c>
      <c r="BD2" s="7" t="s">
        <v>80</v>
      </c>
      <c r="BE2" s="7" t="s">
        <v>81</v>
      </c>
      <c r="BF2" s="11" t="s">
        <v>82</v>
      </c>
      <c r="BG2" s="12"/>
      <c r="BH2" s="13"/>
    </row>
    <row r="3" spans="1:60" ht="15.75" customHeight="1" x14ac:dyDescent="0.3">
      <c r="A3" s="14" t="s">
        <v>83</v>
      </c>
      <c r="B3" s="15" t="s">
        <v>83</v>
      </c>
      <c r="C3" s="15" t="s">
        <v>84</v>
      </c>
      <c r="D3" s="15" t="s">
        <v>85</v>
      </c>
      <c r="E3" s="15" t="s">
        <v>86</v>
      </c>
      <c r="F3" s="15" t="s">
        <v>87</v>
      </c>
      <c r="G3" s="16" t="s">
        <v>88</v>
      </c>
      <c r="H3" s="15" t="s">
        <v>89</v>
      </c>
      <c r="I3" s="15" t="s">
        <v>90</v>
      </c>
      <c r="J3" s="15" t="s">
        <v>91</v>
      </c>
      <c r="K3" s="15" t="s">
        <v>67</v>
      </c>
      <c r="L3" s="15" t="s">
        <v>69</v>
      </c>
      <c r="M3" s="15" t="s">
        <v>69</v>
      </c>
      <c r="N3" s="15" t="s">
        <v>69</v>
      </c>
      <c r="O3" s="15" t="s">
        <v>69</v>
      </c>
      <c r="P3" s="15" t="s">
        <v>68</v>
      </c>
      <c r="Q3" s="15" t="s">
        <v>69</v>
      </c>
      <c r="R3" s="15" t="s">
        <v>69</v>
      </c>
      <c r="S3" s="15" t="s">
        <v>69</v>
      </c>
      <c r="T3" s="15" t="s">
        <v>69</v>
      </c>
      <c r="U3" s="15" t="s">
        <v>68</v>
      </c>
      <c r="V3" s="15" t="s">
        <v>92</v>
      </c>
      <c r="W3" s="15" t="s">
        <v>68</v>
      </c>
      <c r="X3" s="17">
        <v>4.5999999999999996</v>
      </c>
      <c r="Y3" s="17">
        <v>5</v>
      </c>
      <c r="Z3" s="15" t="s">
        <v>68</v>
      </c>
      <c r="AA3" s="15" t="s">
        <v>93</v>
      </c>
      <c r="AB3" s="16" t="s">
        <v>94</v>
      </c>
      <c r="AC3" s="15" t="s">
        <v>95</v>
      </c>
      <c r="AD3" s="15" t="s">
        <v>68</v>
      </c>
      <c r="AE3" s="15" t="s">
        <v>68</v>
      </c>
      <c r="AF3" s="15" t="s">
        <v>68</v>
      </c>
      <c r="AG3" s="15" t="s">
        <v>69</v>
      </c>
      <c r="AH3" s="15" t="s">
        <v>74</v>
      </c>
      <c r="AI3" s="15" t="s">
        <v>74</v>
      </c>
      <c r="AJ3" s="15" t="s">
        <v>74</v>
      </c>
      <c r="AK3" s="15" t="s">
        <v>74</v>
      </c>
      <c r="AL3" s="15" t="s">
        <v>74</v>
      </c>
      <c r="AM3" s="15" t="s">
        <v>74</v>
      </c>
      <c r="AN3" s="15" t="s">
        <v>74</v>
      </c>
      <c r="AO3" s="15" t="s">
        <v>74</v>
      </c>
      <c r="AP3" s="15" t="s">
        <v>74</v>
      </c>
      <c r="AQ3" s="15" t="s">
        <v>74</v>
      </c>
      <c r="AR3" s="15" t="s">
        <v>68</v>
      </c>
      <c r="AS3" s="15" t="s">
        <v>74</v>
      </c>
      <c r="AT3" s="15" t="s">
        <v>74</v>
      </c>
      <c r="AU3" s="15" t="s">
        <v>74</v>
      </c>
      <c r="AV3" s="15" t="s">
        <v>69</v>
      </c>
      <c r="AW3" s="15" t="s">
        <v>68</v>
      </c>
      <c r="AX3" s="15" t="s">
        <v>69</v>
      </c>
      <c r="AY3" s="15" t="s">
        <v>96</v>
      </c>
      <c r="AZ3" s="15" t="s">
        <v>74</v>
      </c>
      <c r="BA3" s="15" t="s">
        <v>74</v>
      </c>
      <c r="BB3" s="15" t="s">
        <v>74</v>
      </c>
      <c r="BC3" s="17">
        <v>40</v>
      </c>
      <c r="BD3" s="15" t="s">
        <v>97</v>
      </c>
      <c r="BE3" s="15" t="s">
        <v>74</v>
      </c>
      <c r="BF3" s="18" t="s">
        <v>98</v>
      </c>
      <c r="BG3" s="12"/>
      <c r="BH3" s="19"/>
    </row>
    <row r="4" spans="1:60" ht="14.25" customHeight="1" x14ac:dyDescent="0.3">
      <c r="A4" s="6" t="s">
        <v>99</v>
      </c>
      <c r="B4" s="7" t="s">
        <v>99</v>
      </c>
      <c r="C4" s="7" t="s">
        <v>100</v>
      </c>
      <c r="D4" s="7" t="s">
        <v>101</v>
      </c>
      <c r="E4" s="7" t="s">
        <v>102</v>
      </c>
      <c r="F4" s="9">
        <v>7014838181</v>
      </c>
      <c r="G4" s="8" t="s">
        <v>103</v>
      </c>
      <c r="H4" s="7" t="s">
        <v>104</v>
      </c>
      <c r="I4" s="7" t="s">
        <v>65</v>
      </c>
      <c r="J4" s="7" t="s">
        <v>66</v>
      </c>
      <c r="K4" s="7" t="s">
        <v>67</v>
      </c>
      <c r="L4" s="7" t="s">
        <v>68</v>
      </c>
      <c r="M4" s="7" t="s">
        <v>68</v>
      </c>
      <c r="N4" s="7" t="s">
        <v>68</v>
      </c>
      <c r="O4" s="7" t="s">
        <v>68</v>
      </c>
      <c r="P4" s="7" t="s">
        <v>68</v>
      </c>
      <c r="Q4" s="7" t="s">
        <v>68</v>
      </c>
      <c r="R4" s="7" t="s">
        <v>69</v>
      </c>
      <c r="S4" s="7" t="s">
        <v>69</v>
      </c>
      <c r="T4" s="7" t="s">
        <v>69</v>
      </c>
      <c r="U4" s="7" t="s">
        <v>68</v>
      </c>
      <c r="V4" s="7" t="s">
        <v>70</v>
      </c>
      <c r="W4" s="7" t="s">
        <v>68</v>
      </c>
      <c r="X4" s="9">
        <v>4.9000000000000004</v>
      </c>
      <c r="Y4" s="9">
        <v>13</v>
      </c>
      <c r="Z4" s="7" t="s">
        <v>68</v>
      </c>
      <c r="AA4" s="7" t="s">
        <v>105</v>
      </c>
      <c r="AB4" s="7" t="s">
        <v>74</v>
      </c>
      <c r="AC4" s="7" t="s">
        <v>74</v>
      </c>
      <c r="AD4" s="7" t="s">
        <v>74</v>
      </c>
      <c r="AE4" s="7" t="s">
        <v>69</v>
      </c>
      <c r="AF4" s="7" t="s">
        <v>69</v>
      </c>
      <c r="AG4" s="7" t="s">
        <v>68</v>
      </c>
      <c r="AH4" s="7" t="s">
        <v>74</v>
      </c>
      <c r="AI4" s="8" t="s">
        <v>106</v>
      </c>
      <c r="AJ4" s="7" t="s">
        <v>74</v>
      </c>
      <c r="AK4" s="7" t="s">
        <v>74</v>
      </c>
      <c r="AL4" s="7" t="s">
        <v>74</v>
      </c>
      <c r="AM4" s="7" t="s">
        <v>74</v>
      </c>
      <c r="AN4" s="7" t="s">
        <v>74</v>
      </c>
      <c r="AO4" s="7" t="s">
        <v>74</v>
      </c>
      <c r="AP4" s="7" t="s">
        <v>74</v>
      </c>
      <c r="AQ4" s="7" t="s">
        <v>74</v>
      </c>
      <c r="AR4" s="7" t="s">
        <v>68</v>
      </c>
      <c r="AS4" s="7" t="s">
        <v>74</v>
      </c>
      <c r="AT4" s="7" t="s">
        <v>74</v>
      </c>
      <c r="AU4" s="7" t="s">
        <v>74</v>
      </c>
      <c r="AV4" s="7" t="s">
        <v>69</v>
      </c>
      <c r="AW4" s="7" t="s">
        <v>107</v>
      </c>
      <c r="AX4" s="7" t="s">
        <v>107</v>
      </c>
      <c r="AY4" s="7" t="s">
        <v>108</v>
      </c>
      <c r="AZ4" s="7" t="s">
        <v>74</v>
      </c>
      <c r="BA4" s="7" t="s">
        <v>74</v>
      </c>
      <c r="BB4" s="7" t="s">
        <v>74</v>
      </c>
      <c r="BC4" s="9">
        <v>45</v>
      </c>
      <c r="BD4" s="7" t="s">
        <v>97</v>
      </c>
      <c r="BE4" s="7" t="s">
        <v>74</v>
      </c>
      <c r="BF4" s="11" t="s">
        <v>109</v>
      </c>
      <c r="BG4" s="12"/>
      <c r="BH4" s="19"/>
    </row>
    <row r="5" spans="1:60" ht="14.25" customHeight="1" x14ac:dyDescent="0.3">
      <c r="A5" s="14" t="s">
        <v>110</v>
      </c>
      <c r="B5" s="15" t="s">
        <v>110</v>
      </c>
      <c r="C5" s="15" t="s">
        <v>111</v>
      </c>
      <c r="D5" s="15" t="s">
        <v>112</v>
      </c>
      <c r="E5" s="15" t="s">
        <v>61</v>
      </c>
      <c r="F5" s="17">
        <v>9304490030</v>
      </c>
      <c r="G5" s="16" t="s">
        <v>113</v>
      </c>
      <c r="H5" s="15" t="s">
        <v>114</v>
      </c>
      <c r="I5" s="15" t="s">
        <v>115</v>
      </c>
      <c r="J5" s="15" t="s">
        <v>66</v>
      </c>
      <c r="K5" s="15" t="s">
        <v>67</v>
      </c>
      <c r="L5" s="15" t="s">
        <v>69</v>
      </c>
      <c r="M5" s="15" t="s">
        <v>69</v>
      </c>
      <c r="N5" s="15" t="s">
        <v>69</v>
      </c>
      <c r="O5" s="15" t="s">
        <v>68</v>
      </c>
      <c r="P5" s="15" t="s">
        <v>68</v>
      </c>
      <c r="Q5" s="15" t="s">
        <v>68</v>
      </c>
      <c r="R5" s="15" t="s">
        <v>69</v>
      </c>
      <c r="S5" s="15" t="s">
        <v>69</v>
      </c>
      <c r="T5" s="15" t="s">
        <v>69</v>
      </c>
      <c r="U5" s="15" t="s">
        <v>68</v>
      </c>
      <c r="V5" s="15" t="s">
        <v>115</v>
      </c>
      <c r="W5" s="15" t="s">
        <v>68</v>
      </c>
      <c r="X5" s="17">
        <v>4</v>
      </c>
      <c r="Y5" s="17">
        <v>56</v>
      </c>
      <c r="Z5" s="15" t="s">
        <v>68</v>
      </c>
      <c r="AA5" s="15" t="s">
        <v>116</v>
      </c>
      <c r="AB5" s="15" t="s">
        <v>74</v>
      </c>
      <c r="AC5" s="15" t="s">
        <v>74</v>
      </c>
      <c r="AD5" s="15" t="s">
        <v>74</v>
      </c>
      <c r="AE5" s="15" t="s">
        <v>68</v>
      </c>
      <c r="AF5" s="15" t="s">
        <v>68</v>
      </c>
      <c r="AG5" s="15" t="s">
        <v>68</v>
      </c>
      <c r="AH5" s="15" t="s">
        <v>74</v>
      </c>
      <c r="AI5" s="16" t="s">
        <v>117</v>
      </c>
      <c r="AJ5" s="15" t="s">
        <v>74</v>
      </c>
      <c r="AK5" s="15" t="s">
        <v>74</v>
      </c>
      <c r="AL5" s="15" t="s">
        <v>74</v>
      </c>
      <c r="AM5" s="15" t="s">
        <v>74</v>
      </c>
      <c r="AN5" s="15" t="s">
        <v>74</v>
      </c>
      <c r="AO5" s="15" t="s">
        <v>74</v>
      </c>
      <c r="AP5" s="15" t="s">
        <v>74</v>
      </c>
      <c r="AQ5" s="15" t="s">
        <v>74</v>
      </c>
      <c r="AR5" s="15" t="s">
        <v>68</v>
      </c>
      <c r="AS5" s="15" t="s">
        <v>74</v>
      </c>
      <c r="AT5" s="15" t="s">
        <v>74</v>
      </c>
      <c r="AU5" s="15" t="s">
        <v>74</v>
      </c>
      <c r="AV5" s="15" t="s">
        <v>69</v>
      </c>
      <c r="AW5" s="15" t="s">
        <v>107</v>
      </c>
      <c r="AX5" s="15" t="s">
        <v>107</v>
      </c>
      <c r="AY5" s="15" t="s">
        <v>118</v>
      </c>
      <c r="AZ5" s="15" t="s">
        <v>74</v>
      </c>
      <c r="BA5" s="15" t="s">
        <v>74</v>
      </c>
      <c r="BB5" s="15" t="s">
        <v>74</v>
      </c>
      <c r="BC5" s="17">
        <v>20</v>
      </c>
      <c r="BD5" s="15" t="s">
        <v>119</v>
      </c>
      <c r="BE5" s="15" t="s">
        <v>74</v>
      </c>
      <c r="BF5" s="18" t="s">
        <v>120</v>
      </c>
      <c r="BG5" s="12"/>
      <c r="BH5" s="19"/>
    </row>
    <row r="6" spans="1:60" ht="14.25" customHeight="1" x14ac:dyDescent="0.3">
      <c r="A6" s="6" t="s">
        <v>121</v>
      </c>
      <c r="B6" s="7" t="s">
        <v>121</v>
      </c>
      <c r="C6" s="7" t="s">
        <v>122</v>
      </c>
      <c r="D6" s="7" t="s">
        <v>123</v>
      </c>
      <c r="E6" s="7" t="s">
        <v>124</v>
      </c>
      <c r="F6" s="9">
        <v>9731089654</v>
      </c>
      <c r="G6" s="8" t="s">
        <v>125</v>
      </c>
      <c r="H6" s="7" t="s">
        <v>126</v>
      </c>
      <c r="I6" s="7" t="s">
        <v>107</v>
      </c>
      <c r="J6" s="7" t="s">
        <v>127</v>
      </c>
      <c r="K6" s="7" t="s">
        <v>128</v>
      </c>
      <c r="L6" s="7" t="s">
        <v>69</v>
      </c>
      <c r="M6" s="7" t="s">
        <v>69</v>
      </c>
      <c r="N6" s="7" t="s">
        <v>69</v>
      </c>
      <c r="O6" s="7" t="s">
        <v>69</v>
      </c>
      <c r="P6" s="7" t="s">
        <v>69</v>
      </c>
      <c r="Q6" s="7" t="s">
        <v>69</v>
      </c>
      <c r="R6" s="7" t="s">
        <v>69</v>
      </c>
      <c r="S6" s="7" t="s">
        <v>69</v>
      </c>
      <c r="T6" s="7" t="s">
        <v>69</v>
      </c>
      <c r="U6" s="7" t="s">
        <v>69</v>
      </c>
      <c r="V6" s="7" t="s">
        <v>107</v>
      </c>
      <c r="W6" s="7" t="s">
        <v>68</v>
      </c>
      <c r="X6" s="9">
        <v>3.8</v>
      </c>
      <c r="Y6" s="9">
        <v>63</v>
      </c>
      <c r="Z6" s="7" t="s">
        <v>68</v>
      </c>
      <c r="AA6" s="7" t="s">
        <v>129</v>
      </c>
      <c r="AB6" s="7" t="s">
        <v>74</v>
      </c>
      <c r="AC6" s="7" t="s">
        <v>74</v>
      </c>
      <c r="AD6" s="7" t="s">
        <v>74</v>
      </c>
      <c r="AE6" s="7" t="s">
        <v>68</v>
      </c>
      <c r="AF6" s="7" t="s">
        <v>68</v>
      </c>
      <c r="AG6" s="7" t="s">
        <v>69</v>
      </c>
      <c r="AH6" s="7" t="s">
        <v>74</v>
      </c>
      <c r="AI6" s="7" t="s">
        <v>74</v>
      </c>
      <c r="AJ6" s="7" t="s">
        <v>74</v>
      </c>
      <c r="AK6" s="7" t="s">
        <v>74</v>
      </c>
      <c r="AL6" s="7" t="s">
        <v>74</v>
      </c>
      <c r="AM6" s="7" t="s">
        <v>74</v>
      </c>
      <c r="AN6" s="7" t="s">
        <v>74</v>
      </c>
      <c r="AO6" s="7" t="s">
        <v>74</v>
      </c>
      <c r="AP6" s="7" t="s">
        <v>74</v>
      </c>
      <c r="AQ6" s="7" t="s">
        <v>74</v>
      </c>
      <c r="AR6" s="7" t="s">
        <v>68</v>
      </c>
      <c r="AS6" s="7" t="s">
        <v>74</v>
      </c>
      <c r="AT6" s="7" t="s">
        <v>74</v>
      </c>
      <c r="AU6" s="7" t="s">
        <v>74</v>
      </c>
      <c r="AV6" s="7" t="s">
        <v>69</v>
      </c>
      <c r="AW6" s="7" t="s">
        <v>107</v>
      </c>
      <c r="AX6" s="7" t="s">
        <v>107</v>
      </c>
      <c r="AY6" s="7" t="s">
        <v>130</v>
      </c>
      <c r="AZ6" s="7" t="s">
        <v>107</v>
      </c>
      <c r="BA6" s="7" t="s">
        <v>107</v>
      </c>
      <c r="BB6" s="7" t="s">
        <v>107</v>
      </c>
      <c r="BC6" s="9">
        <v>0</v>
      </c>
      <c r="BD6" s="7" t="s">
        <v>127</v>
      </c>
      <c r="BE6" s="7" t="s">
        <v>107</v>
      </c>
      <c r="BF6" s="11" t="s">
        <v>131</v>
      </c>
      <c r="BG6" s="12"/>
      <c r="BH6" s="19"/>
    </row>
    <row r="7" spans="1:60" ht="14.25" customHeight="1" x14ac:dyDescent="0.3">
      <c r="A7" s="14" t="s">
        <v>132</v>
      </c>
      <c r="B7" s="15" t="s">
        <v>132</v>
      </c>
      <c r="C7" s="15" t="s">
        <v>100</v>
      </c>
      <c r="D7" s="15" t="s">
        <v>133</v>
      </c>
      <c r="E7" s="15" t="s">
        <v>134</v>
      </c>
      <c r="F7" s="17">
        <v>7992418435</v>
      </c>
      <c r="G7" s="16" t="s">
        <v>135</v>
      </c>
      <c r="H7" s="15" t="s">
        <v>136</v>
      </c>
      <c r="I7" s="15" t="s">
        <v>65</v>
      </c>
      <c r="J7" s="15" t="s">
        <v>66</v>
      </c>
      <c r="K7" s="15" t="s">
        <v>67</v>
      </c>
      <c r="L7" s="15" t="s">
        <v>68</v>
      </c>
      <c r="M7" s="15" t="s">
        <v>68</v>
      </c>
      <c r="N7" s="15" t="s">
        <v>69</v>
      </c>
      <c r="O7" s="15" t="s">
        <v>68</v>
      </c>
      <c r="P7" s="15" t="s">
        <v>69</v>
      </c>
      <c r="Q7" s="15" t="s">
        <v>69</v>
      </c>
      <c r="R7" s="15" t="s">
        <v>68</v>
      </c>
      <c r="S7" s="15" t="s">
        <v>69</v>
      </c>
      <c r="T7" s="15" t="s">
        <v>68</v>
      </c>
      <c r="U7" s="15" t="s">
        <v>69</v>
      </c>
      <c r="V7" s="15" t="s">
        <v>115</v>
      </c>
      <c r="W7" s="15" t="s">
        <v>68</v>
      </c>
      <c r="X7" s="17">
        <v>5</v>
      </c>
      <c r="Y7" s="17">
        <v>5</v>
      </c>
      <c r="Z7" s="15" t="s">
        <v>68</v>
      </c>
      <c r="AA7" s="15" t="s">
        <v>137</v>
      </c>
      <c r="AB7" s="15" t="s">
        <v>74</v>
      </c>
      <c r="AC7" s="15" t="s">
        <v>74</v>
      </c>
      <c r="AD7" s="15" t="s">
        <v>74</v>
      </c>
      <c r="AE7" s="15" t="s">
        <v>69</v>
      </c>
      <c r="AF7" s="15" t="s">
        <v>68</v>
      </c>
      <c r="AG7" s="15" t="s">
        <v>69</v>
      </c>
      <c r="AH7" s="15" t="s">
        <v>74</v>
      </c>
      <c r="AI7" s="15" t="s">
        <v>74</v>
      </c>
      <c r="AJ7" s="15" t="s">
        <v>74</v>
      </c>
      <c r="AK7" s="15" t="s">
        <v>74</v>
      </c>
      <c r="AL7" s="15" t="s">
        <v>74</v>
      </c>
      <c r="AM7" s="15" t="s">
        <v>74</v>
      </c>
      <c r="AN7" s="15" t="s">
        <v>74</v>
      </c>
      <c r="AO7" s="15" t="s">
        <v>74</v>
      </c>
      <c r="AP7" s="15" t="s">
        <v>74</v>
      </c>
      <c r="AQ7" s="15" t="s">
        <v>74</v>
      </c>
      <c r="AR7" s="15" t="s">
        <v>69</v>
      </c>
      <c r="AS7" s="15" t="s">
        <v>74</v>
      </c>
      <c r="AT7" s="15" t="s">
        <v>74</v>
      </c>
      <c r="AU7" s="15" t="s">
        <v>74</v>
      </c>
      <c r="AV7" s="15" t="s">
        <v>69</v>
      </c>
      <c r="AW7" s="15" t="s">
        <v>107</v>
      </c>
      <c r="AX7" s="15" t="s">
        <v>107</v>
      </c>
      <c r="AY7" s="15" t="s">
        <v>138</v>
      </c>
      <c r="AZ7" s="15" t="s">
        <v>74</v>
      </c>
      <c r="BA7" s="15" t="s">
        <v>74</v>
      </c>
      <c r="BB7" s="15" t="s">
        <v>74</v>
      </c>
      <c r="BC7" s="17">
        <v>35</v>
      </c>
      <c r="BD7" s="15" t="s">
        <v>119</v>
      </c>
      <c r="BE7" s="15" t="s">
        <v>74</v>
      </c>
      <c r="BF7" s="18" t="s">
        <v>139</v>
      </c>
      <c r="BG7" s="12"/>
      <c r="BH7" s="19"/>
    </row>
    <row r="8" spans="1:60" ht="14.25" customHeight="1" x14ac:dyDescent="0.3">
      <c r="A8" s="6" t="s">
        <v>140</v>
      </c>
      <c r="B8" s="7" t="s">
        <v>140</v>
      </c>
      <c r="C8" s="7" t="s">
        <v>122</v>
      </c>
      <c r="D8" s="7" t="s">
        <v>141</v>
      </c>
      <c r="E8" s="7" t="s">
        <v>142</v>
      </c>
      <c r="F8" s="9">
        <v>9708640300</v>
      </c>
      <c r="G8" s="8" t="s">
        <v>143</v>
      </c>
      <c r="H8" s="7" t="s">
        <v>144</v>
      </c>
      <c r="I8" s="7" t="s">
        <v>90</v>
      </c>
      <c r="J8" s="7" t="s">
        <v>145</v>
      </c>
      <c r="K8" s="7" t="s">
        <v>67</v>
      </c>
      <c r="L8" s="7" t="s">
        <v>69</v>
      </c>
      <c r="M8" s="7" t="s">
        <v>69</v>
      </c>
      <c r="N8" s="7" t="s">
        <v>69</v>
      </c>
      <c r="O8" s="7" t="s">
        <v>69</v>
      </c>
      <c r="P8" s="7" t="s">
        <v>68</v>
      </c>
      <c r="Q8" s="7" t="s">
        <v>69</v>
      </c>
      <c r="R8" s="7" t="s">
        <v>69</v>
      </c>
      <c r="S8" s="7" t="s">
        <v>69</v>
      </c>
      <c r="T8" s="7" t="s">
        <v>69</v>
      </c>
      <c r="U8" s="7" t="s">
        <v>68</v>
      </c>
      <c r="V8" s="7" t="s">
        <v>92</v>
      </c>
      <c r="W8" s="7" t="s">
        <v>68</v>
      </c>
      <c r="X8" s="9">
        <v>3.8</v>
      </c>
      <c r="Y8" s="9">
        <v>58</v>
      </c>
      <c r="Z8" s="7" t="s">
        <v>68</v>
      </c>
      <c r="AA8" s="7" t="s">
        <v>146</v>
      </c>
      <c r="AB8" s="7" t="s">
        <v>74</v>
      </c>
      <c r="AC8" s="7" t="s">
        <v>74</v>
      </c>
      <c r="AD8" s="7" t="s">
        <v>74</v>
      </c>
      <c r="AE8" s="7" t="s">
        <v>69</v>
      </c>
      <c r="AF8" s="7" t="s">
        <v>68</v>
      </c>
      <c r="AG8" s="7" t="s">
        <v>69</v>
      </c>
      <c r="AH8" s="7" t="s">
        <v>74</v>
      </c>
      <c r="AI8" s="8" t="s">
        <v>147</v>
      </c>
      <c r="AJ8" s="8" t="s">
        <v>148</v>
      </c>
      <c r="AK8" s="7" t="s">
        <v>74</v>
      </c>
      <c r="AL8" s="8" t="s">
        <v>149</v>
      </c>
      <c r="AM8" s="7" t="s">
        <v>150</v>
      </c>
      <c r="AN8" s="7" t="s">
        <v>151</v>
      </c>
      <c r="AO8" s="9">
        <v>126</v>
      </c>
      <c r="AP8" s="20">
        <v>45991</v>
      </c>
      <c r="AQ8" s="7" t="s">
        <v>152</v>
      </c>
      <c r="AR8" s="7" t="s">
        <v>69</v>
      </c>
      <c r="AS8" s="7" t="s">
        <v>74</v>
      </c>
      <c r="AT8" s="7" t="s">
        <v>74</v>
      </c>
      <c r="AU8" s="7" t="s">
        <v>74</v>
      </c>
      <c r="AV8" s="7" t="s">
        <v>69</v>
      </c>
      <c r="AW8" s="7" t="s">
        <v>107</v>
      </c>
      <c r="AX8" s="7" t="s">
        <v>107</v>
      </c>
      <c r="AY8" s="7" t="s">
        <v>153</v>
      </c>
      <c r="AZ8" s="7" t="s">
        <v>154</v>
      </c>
      <c r="BA8" s="7" t="s">
        <v>155</v>
      </c>
      <c r="BB8" s="7" t="s">
        <v>156</v>
      </c>
      <c r="BC8" s="9">
        <v>25</v>
      </c>
      <c r="BD8" s="7" t="s">
        <v>119</v>
      </c>
      <c r="BE8" s="7" t="s">
        <v>157</v>
      </c>
      <c r="BF8" s="11" t="s">
        <v>158</v>
      </c>
      <c r="BG8" s="12"/>
      <c r="BH8" s="19"/>
    </row>
    <row r="9" spans="1:60" ht="14.25" customHeight="1" x14ac:dyDescent="0.3">
      <c r="A9" s="14" t="s">
        <v>159</v>
      </c>
      <c r="B9" s="15" t="s">
        <v>159</v>
      </c>
      <c r="C9" s="15" t="s">
        <v>122</v>
      </c>
      <c r="D9" s="15" t="s">
        <v>160</v>
      </c>
      <c r="E9" s="15" t="s">
        <v>161</v>
      </c>
      <c r="F9" s="17">
        <v>7979016639</v>
      </c>
      <c r="G9" s="16" t="s">
        <v>162</v>
      </c>
      <c r="H9" s="15" t="s">
        <v>144</v>
      </c>
      <c r="I9" s="15" t="s">
        <v>90</v>
      </c>
      <c r="J9" s="15" t="s">
        <v>145</v>
      </c>
      <c r="K9" s="15" t="s">
        <v>67</v>
      </c>
      <c r="L9" s="15" t="s">
        <v>69</v>
      </c>
      <c r="M9" s="15" t="s">
        <v>69</v>
      </c>
      <c r="N9" s="15" t="s">
        <v>69</v>
      </c>
      <c r="O9" s="15" t="s">
        <v>69</v>
      </c>
      <c r="P9" s="15" t="s">
        <v>68</v>
      </c>
      <c r="Q9" s="15" t="s">
        <v>69</v>
      </c>
      <c r="R9" s="15" t="s">
        <v>69</v>
      </c>
      <c r="S9" s="15" t="s">
        <v>69</v>
      </c>
      <c r="T9" s="15" t="s">
        <v>69</v>
      </c>
      <c r="U9" s="15" t="s">
        <v>68</v>
      </c>
      <c r="V9" s="15" t="s">
        <v>92</v>
      </c>
      <c r="W9" s="15" t="s">
        <v>68</v>
      </c>
      <c r="X9" s="17">
        <v>4.5</v>
      </c>
      <c r="Y9" s="17">
        <v>28</v>
      </c>
      <c r="Z9" s="15" t="s">
        <v>68</v>
      </c>
      <c r="AA9" s="15" t="s">
        <v>116</v>
      </c>
      <c r="AB9" s="15" t="s">
        <v>74</v>
      </c>
      <c r="AC9" s="15" t="s">
        <v>74</v>
      </c>
      <c r="AD9" s="15" t="s">
        <v>74</v>
      </c>
      <c r="AE9" s="15" t="s">
        <v>68</v>
      </c>
      <c r="AF9" s="15" t="s">
        <v>68</v>
      </c>
      <c r="AG9" s="15" t="s">
        <v>69</v>
      </c>
      <c r="AH9" s="15" t="s">
        <v>74</v>
      </c>
      <c r="AI9" s="16" t="s">
        <v>163</v>
      </c>
      <c r="AJ9" s="16" t="s">
        <v>164</v>
      </c>
      <c r="AK9" s="15" t="s">
        <v>74</v>
      </c>
      <c r="AL9" s="15" t="s">
        <v>74</v>
      </c>
      <c r="AM9" s="15" t="s">
        <v>74</v>
      </c>
      <c r="AN9" s="15" t="s">
        <v>74</v>
      </c>
      <c r="AO9" s="15" t="s">
        <v>74</v>
      </c>
      <c r="AP9" s="15" t="s">
        <v>74</v>
      </c>
      <c r="AQ9" s="15" t="s">
        <v>74</v>
      </c>
      <c r="AR9" s="15" t="s">
        <v>68</v>
      </c>
      <c r="AS9" s="15" t="s">
        <v>74</v>
      </c>
      <c r="AT9" s="15" t="s">
        <v>74</v>
      </c>
      <c r="AU9" s="15" t="s">
        <v>74</v>
      </c>
      <c r="AV9" s="15" t="s">
        <v>69</v>
      </c>
      <c r="AW9" s="15" t="s">
        <v>107</v>
      </c>
      <c r="AX9" s="15" t="s">
        <v>107</v>
      </c>
      <c r="AY9" s="15" t="s">
        <v>165</v>
      </c>
      <c r="AZ9" s="15" t="s">
        <v>166</v>
      </c>
      <c r="BA9" s="15" t="s">
        <v>167</v>
      </c>
      <c r="BB9" s="15" t="s">
        <v>168</v>
      </c>
      <c r="BC9" s="17">
        <v>45</v>
      </c>
      <c r="BD9" s="15" t="s">
        <v>97</v>
      </c>
      <c r="BE9" s="15" t="s">
        <v>169</v>
      </c>
      <c r="BF9" s="18" t="s">
        <v>170</v>
      </c>
      <c r="BG9" s="12"/>
      <c r="BH9" s="19"/>
    </row>
    <row r="10" spans="1:60" ht="14.25" customHeight="1" x14ac:dyDescent="0.3">
      <c r="A10" s="6" t="s">
        <v>171</v>
      </c>
      <c r="B10" s="7" t="s">
        <v>171</v>
      </c>
      <c r="C10" s="7" t="s">
        <v>122</v>
      </c>
      <c r="D10" s="7" t="s">
        <v>172</v>
      </c>
      <c r="E10" s="7" t="s">
        <v>173</v>
      </c>
      <c r="F10" s="7" t="s">
        <v>174</v>
      </c>
      <c r="G10" s="8" t="s">
        <v>175</v>
      </c>
      <c r="H10" s="7" t="s">
        <v>176</v>
      </c>
      <c r="I10" s="7" t="s">
        <v>90</v>
      </c>
      <c r="J10" s="7" t="s">
        <v>145</v>
      </c>
      <c r="K10" s="7" t="s">
        <v>67</v>
      </c>
      <c r="L10" s="7" t="s">
        <v>69</v>
      </c>
      <c r="M10" s="7" t="s">
        <v>69</v>
      </c>
      <c r="N10" s="7" t="s">
        <v>69</v>
      </c>
      <c r="O10" s="7" t="s">
        <v>69</v>
      </c>
      <c r="P10" s="7" t="s">
        <v>68</v>
      </c>
      <c r="Q10" s="7" t="s">
        <v>69</v>
      </c>
      <c r="R10" s="7" t="s">
        <v>69</v>
      </c>
      <c r="S10" s="7" t="s">
        <v>69</v>
      </c>
      <c r="T10" s="7" t="s">
        <v>69</v>
      </c>
      <c r="U10" s="7" t="s">
        <v>68</v>
      </c>
      <c r="V10" s="7" t="s">
        <v>92</v>
      </c>
      <c r="W10" s="7" t="s">
        <v>68</v>
      </c>
      <c r="X10" s="9">
        <v>4.5</v>
      </c>
      <c r="Y10" s="9">
        <v>49</v>
      </c>
      <c r="Z10" s="7" t="s">
        <v>68</v>
      </c>
      <c r="AA10" s="7" t="s">
        <v>71</v>
      </c>
      <c r="AB10" s="21" t="s">
        <v>177</v>
      </c>
      <c r="AC10" s="7" t="s">
        <v>178</v>
      </c>
      <c r="AD10" s="7" t="s">
        <v>68</v>
      </c>
      <c r="AE10" s="7" t="s">
        <v>68</v>
      </c>
      <c r="AF10" s="7" t="s">
        <v>68</v>
      </c>
      <c r="AG10" s="7" t="s">
        <v>69</v>
      </c>
      <c r="AH10" s="7" t="s">
        <v>74</v>
      </c>
      <c r="AI10" s="8" t="s">
        <v>179</v>
      </c>
      <c r="AJ10" s="7" t="s">
        <v>74</v>
      </c>
      <c r="AK10" s="7" t="s">
        <v>74</v>
      </c>
      <c r="AL10" s="7" t="s">
        <v>74</v>
      </c>
      <c r="AM10" s="7" t="s">
        <v>74</v>
      </c>
      <c r="AN10" s="7" t="s">
        <v>74</v>
      </c>
      <c r="AO10" s="7" t="s">
        <v>74</v>
      </c>
      <c r="AP10" s="7" t="s">
        <v>74</v>
      </c>
      <c r="AQ10" s="7" t="s">
        <v>74</v>
      </c>
      <c r="AR10" s="7" t="s">
        <v>74</v>
      </c>
      <c r="AS10" s="7" t="s">
        <v>74</v>
      </c>
      <c r="AT10" s="7" t="s">
        <v>74</v>
      </c>
      <c r="AU10" s="7" t="s">
        <v>74</v>
      </c>
      <c r="AV10" s="7" t="s">
        <v>69</v>
      </c>
      <c r="AW10" s="7" t="s">
        <v>68</v>
      </c>
      <c r="AX10" s="7" t="s">
        <v>69</v>
      </c>
      <c r="AY10" s="7" t="s">
        <v>180</v>
      </c>
      <c r="AZ10" s="7" t="s">
        <v>181</v>
      </c>
      <c r="BA10" s="7" t="s">
        <v>182</v>
      </c>
      <c r="BB10" s="7" t="s">
        <v>183</v>
      </c>
      <c r="BC10" s="9">
        <v>50</v>
      </c>
      <c r="BD10" s="7" t="s">
        <v>97</v>
      </c>
      <c r="BE10" s="7" t="s">
        <v>184</v>
      </c>
      <c r="BF10" s="22" t="s">
        <v>185</v>
      </c>
      <c r="BG10" s="23"/>
      <c r="BH10" s="19"/>
    </row>
    <row r="11" spans="1:60" ht="14.25" customHeight="1" x14ac:dyDescent="0.3">
      <c r="A11" s="14" t="s">
        <v>186</v>
      </c>
      <c r="B11" s="15" t="s">
        <v>186</v>
      </c>
      <c r="C11" s="15" t="s">
        <v>187</v>
      </c>
      <c r="D11" s="15" t="s">
        <v>188</v>
      </c>
      <c r="E11" s="15" t="s">
        <v>189</v>
      </c>
      <c r="F11" s="17">
        <v>8709653276</v>
      </c>
      <c r="G11" s="16" t="s">
        <v>190</v>
      </c>
      <c r="H11" s="15" t="s">
        <v>191</v>
      </c>
      <c r="I11" s="15" t="s">
        <v>90</v>
      </c>
      <c r="J11" s="15" t="s">
        <v>145</v>
      </c>
      <c r="K11" s="15" t="s">
        <v>67</v>
      </c>
      <c r="L11" s="15" t="s">
        <v>69</v>
      </c>
      <c r="M11" s="15" t="s">
        <v>69</v>
      </c>
      <c r="N11" s="15" t="s">
        <v>69</v>
      </c>
      <c r="O11" s="15" t="s">
        <v>69</v>
      </c>
      <c r="P11" s="15" t="s">
        <v>68</v>
      </c>
      <c r="Q11" s="15" t="s">
        <v>68</v>
      </c>
      <c r="R11" s="15" t="s">
        <v>69</v>
      </c>
      <c r="S11" s="15" t="s">
        <v>69</v>
      </c>
      <c r="T11" s="15" t="s">
        <v>69</v>
      </c>
      <c r="U11" s="15" t="s">
        <v>68</v>
      </c>
      <c r="V11" s="15" t="s">
        <v>92</v>
      </c>
      <c r="W11" s="15" t="s">
        <v>68</v>
      </c>
      <c r="X11" s="17">
        <v>4.8</v>
      </c>
      <c r="Y11" s="17">
        <v>86</v>
      </c>
      <c r="Z11" s="15" t="s">
        <v>68</v>
      </c>
      <c r="AA11" s="15" t="s">
        <v>146</v>
      </c>
      <c r="AB11" s="15" t="s">
        <v>74</v>
      </c>
      <c r="AC11" s="15" t="s">
        <v>74</v>
      </c>
      <c r="AD11" s="15" t="s">
        <v>74</v>
      </c>
      <c r="AE11" s="15" t="s">
        <v>68</v>
      </c>
      <c r="AF11" s="15" t="s">
        <v>68</v>
      </c>
      <c r="AG11" s="15" t="s">
        <v>69</v>
      </c>
      <c r="AH11" s="15" t="s">
        <v>74</v>
      </c>
      <c r="AI11" s="15" t="s">
        <v>74</v>
      </c>
      <c r="AJ11" s="15" t="s">
        <v>74</v>
      </c>
      <c r="AK11" s="15" t="s">
        <v>74</v>
      </c>
      <c r="AL11" s="15" t="s">
        <v>74</v>
      </c>
      <c r="AM11" s="15" t="s">
        <v>74</v>
      </c>
      <c r="AN11" s="15" t="s">
        <v>74</v>
      </c>
      <c r="AO11" s="15" t="s">
        <v>74</v>
      </c>
      <c r="AP11" s="15" t="s">
        <v>74</v>
      </c>
      <c r="AQ11" s="15" t="s">
        <v>74</v>
      </c>
      <c r="AR11" s="15" t="s">
        <v>68</v>
      </c>
      <c r="AS11" s="15" t="s">
        <v>74</v>
      </c>
      <c r="AT11" s="15" t="s">
        <v>74</v>
      </c>
      <c r="AU11" s="15" t="s">
        <v>74</v>
      </c>
      <c r="AV11" s="15" t="s">
        <v>69</v>
      </c>
      <c r="AW11" s="15" t="s">
        <v>107</v>
      </c>
      <c r="AX11" s="15" t="s">
        <v>107</v>
      </c>
      <c r="AY11" s="15" t="s">
        <v>138</v>
      </c>
      <c r="AZ11" s="15" t="s">
        <v>74</v>
      </c>
      <c r="BA11" s="15" t="s">
        <v>74</v>
      </c>
      <c r="BB11" s="15" t="s">
        <v>74</v>
      </c>
      <c r="BC11" s="17">
        <v>35</v>
      </c>
      <c r="BD11" s="15" t="s">
        <v>119</v>
      </c>
      <c r="BE11" s="15" t="s">
        <v>74</v>
      </c>
      <c r="BF11" s="24" t="s">
        <v>192</v>
      </c>
      <c r="BG11" s="12"/>
      <c r="BH11" s="19"/>
    </row>
    <row r="12" spans="1:60" ht="14.25" customHeight="1" x14ac:dyDescent="0.3">
      <c r="A12" s="6" t="s">
        <v>193</v>
      </c>
      <c r="B12" s="7" t="s">
        <v>193</v>
      </c>
      <c r="C12" s="7" t="s">
        <v>194</v>
      </c>
      <c r="D12" s="7" t="s">
        <v>195</v>
      </c>
      <c r="E12" s="7" t="s">
        <v>196</v>
      </c>
      <c r="F12" s="9">
        <v>9431114896</v>
      </c>
      <c r="G12" s="8" t="s">
        <v>197</v>
      </c>
      <c r="H12" s="7" t="s">
        <v>198</v>
      </c>
      <c r="I12" s="7" t="s">
        <v>90</v>
      </c>
      <c r="J12" s="7" t="s">
        <v>66</v>
      </c>
      <c r="K12" s="7" t="s">
        <v>199</v>
      </c>
      <c r="L12" s="7" t="s">
        <v>69</v>
      </c>
      <c r="M12" s="7" t="s">
        <v>68</v>
      </c>
      <c r="N12" s="7" t="s">
        <v>69</v>
      </c>
      <c r="O12" s="7" t="s">
        <v>69</v>
      </c>
      <c r="P12" s="7" t="s">
        <v>69</v>
      </c>
      <c r="Q12" s="7" t="s">
        <v>69</v>
      </c>
      <c r="R12" s="7" t="s">
        <v>69</v>
      </c>
      <c r="S12" s="7" t="s">
        <v>69</v>
      </c>
      <c r="T12" s="7" t="s">
        <v>68</v>
      </c>
      <c r="U12" s="7" t="s">
        <v>69</v>
      </c>
      <c r="V12" s="7" t="s">
        <v>92</v>
      </c>
      <c r="W12" s="7" t="s">
        <v>68</v>
      </c>
      <c r="X12" s="9">
        <v>4.8</v>
      </c>
      <c r="Y12" s="9">
        <v>10</v>
      </c>
      <c r="Z12" s="7" t="s">
        <v>68</v>
      </c>
      <c r="AA12" s="7" t="s">
        <v>74</v>
      </c>
      <c r="AB12" s="7" t="s">
        <v>74</v>
      </c>
      <c r="AC12" s="7" t="s">
        <v>74</v>
      </c>
      <c r="AD12" s="7" t="s">
        <v>74</v>
      </c>
      <c r="AE12" s="7" t="s">
        <v>69</v>
      </c>
      <c r="AF12" s="7" t="s">
        <v>68</v>
      </c>
      <c r="AG12" s="7" t="s">
        <v>69</v>
      </c>
      <c r="AH12" s="7" t="s">
        <v>74</v>
      </c>
      <c r="AI12" s="7" t="s">
        <v>74</v>
      </c>
      <c r="AJ12" s="7" t="s">
        <v>74</v>
      </c>
      <c r="AK12" s="7" t="s">
        <v>74</v>
      </c>
      <c r="AL12" s="7" t="s">
        <v>74</v>
      </c>
      <c r="AM12" s="7" t="s">
        <v>74</v>
      </c>
      <c r="AN12" s="7" t="s">
        <v>74</v>
      </c>
      <c r="AO12" s="7" t="s">
        <v>74</v>
      </c>
      <c r="AP12" s="7" t="s">
        <v>74</v>
      </c>
      <c r="AQ12" s="7" t="s">
        <v>74</v>
      </c>
      <c r="AR12" s="7" t="s">
        <v>74</v>
      </c>
      <c r="AS12" s="7" t="s">
        <v>74</v>
      </c>
      <c r="AT12" s="7" t="s">
        <v>74</v>
      </c>
      <c r="AU12" s="7" t="s">
        <v>74</v>
      </c>
      <c r="AV12" s="7" t="s">
        <v>74</v>
      </c>
      <c r="AW12" s="7" t="s">
        <v>107</v>
      </c>
      <c r="AX12" s="7" t="s">
        <v>107</v>
      </c>
      <c r="AY12" s="7" t="s">
        <v>107</v>
      </c>
      <c r="AZ12" s="7" t="s">
        <v>74</v>
      </c>
      <c r="BA12" s="7" t="s">
        <v>74</v>
      </c>
      <c r="BB12" s="7" t="s">
        <v>74</v>
      </c>
      <c r="BC12" s="9">
        <v>25</v>
      </c>
      <c r="BD12" s="7" t="s">
        <v>119</v>
      </c>
      <c r="BE12" s="7" t="s">
        <v>200</v>
      </c>
      <c r="BF12" s="11" t="s">
        <v>201</v>
      </c>
      <c r="BG12" s="12"/>
      <c r="BH12" s="19"/>
    </row>
    <row r="13" spans="1:60" ht="14.25" customHeight="1" x14ac:dyDescent="0.3">
      <c r="A13" s="14" t="s">
        <v>202</v>
      </c>
      <c r="B13" s="15" t="s">
        <v>202</v>
      </c>
      <c r="C13" s="15" t="s">
        <v>122</v>
      </c>
      <c r="D13" s="15" t="s">
        <v>203</v>
      </c>
      <c r="E13" s="15" t="s">
        <v>204</v>
      </c>
      <c r="F13" s="17">
        <v>8040138164</v>
      </c>
      <c r="G13" s="16" t="s">
        <v>205</v>
      </c>
      <c r="H13" s="15" t="s">
        <v>206</v>
      </c>
      <c r="I13" s="15" t="s">
        <v>90</v>
      </c>
      <c r="J13" s="15" t="s">
        <v>145</v>
      </c>
      <c r="K13" s="15" t="s">
        <v>67</v>
      </c>
      <c r="L13" s="15" t="s">
        <v>69</v>
      </c>
      <c r="M13" s="15" t="s">
        <v>69</v>
      </c>
      <c r="N13" s="15" t="s">
        <v>69</v>
      </c>
      <c r="O13" s="15" t="s">
        <v>69</v>
      </c>
      <c r="P13" s="15" t="s">
        <v>68</v>
      </c>
      <c r="Q13" s="15" t="s">
        <v>69</v>
      </c>
      <c r="R13" s="15" t="s">
        <v>69</v>
      </c>
      <c r="S13" s="15" t="s">
        <v>69</v>
      </c>
      <c r="T13" s="15" t="s">
        <v>69</v>
      </c>
      <c r="U13" s="15" t="s">
        <v>68</v>
      </c>
      <c r="V13" s="15" t="s">
        <v>92</v>
      </c>
      <c r="W13" s="15" t="s">
        <v>68</v>
      </c>
      <c r="X13" s="17">
        <v>3.5</v>
      </c>
      <c r="Y13" s="17">
        <v>5</v>
      </c>
      <c r="Z13" s="15" t="s">
        <v>68</v>
      </c>
      <c r="AA13" s="15" t="s">
        <v>207</v>
      </c>
      <c r="AB13" s="15" t="s">
        <v>74</v>
      </c>
      <c r="AC13" s="15" t="s">
        <v>74</v>
      </c>
      <c r="AD13" s="15" t="s">
        <v>74</v>
      </c>
      <c r="AE13" s="15" t="s">
        <v>68</v>
      </c>
      <c r="AF13" s="15" t="s">
        <v>68</v>
      </c>
      <c r="AG13" s="15" t="s">
        <v>69</v>
      </c>
      <c r="AH13" s="15" t="s">
        <v>74</v>
      </c>
      <c r="AI13" s="15" t="s">
        <v>74</v>
      </c>
      <c r="AJ13" s="15" t="s">
        <v>74</v>
      </c>
      <c r="AK13" s="15" t="s">
        <v>74</v>
      </c>
      <c r="AL13" s="15" t="s">
        <v>74</v>
      </c>
      <c r="AM13" s="15" t="s">
        <v>74</v>
      </c>
      <c r="AN13" s="15" t="s">
        <v>74</v>
      </c>
      <c r="AO13" s="15" t="s">
        <v>74</v>
      </c>
      <c r="AP13" s="15" t="s">
        <v>74</v>
      </c>
      <c r="AQ13" s="15" t="s">
        <v>74</v>
      </c>
      <c r="AR13" s="15" t="s">
        <v>69</v>
      </c>
      <c r="AS13" s="15" t="s">
        <v>74</v>
      </c>
      <c r="AT13" s="15" t="s">
        <v>74</v>
      </c>
      <c r="AU13" s="15" t="s">
        <v>74</v>
      </c>
      <c r="AV13" s="15" t="s">
        <v>69</v>
      </c>
      <c r="AW13" s="15" t="s">
        <v>107</v>
      </c>
      <c r="AX13" s="15" t="s">
        <v>107</v>
      </c>
      <c r="AY13" s="15" t="s">
        <v>208</v>
      </c>
      <c r="AZ13" s="15" t="s">
        <v>209</v>
      </c>
      <c r="BA13" s="15" t="s">
        <v>210</v>
      </c>
      <c r="BB13" s="15" t="s">
        <v>211</v>
      </c>
      <c r="BC13" s="17">
        <v>20</v>
      </c>
      <c r="BD13" s="15" t="s">
        <v>119</v>
      </c>
      <c r="BE13" s="15" t="s">
        <v>212</v>
      </c>
      <c r="BF13" s="18" t="s">
        <v>213</v>
      </c>
      <c r="BG13" s="12"/>
      <c r="BH13" s="19"/>
    </row>
    <row r="14" spans="1:60" ht="14.25" customHeight="1" x14ac:dyDescent="0.3">
      <c r="A14" s="6" t="s">
        <v>214</v>
      </c>
      <c r="B14" s="7" t="s">
        <v>214</v>
      </c>
      <c r="C14" s="7" t="s">
        <v>100</v>
      </c>
      <c r="D14" s="7" t="s">
        <v>215</v>
      </c>
      <c r="E14" s="7" t="s">
        <v>196</v>
      </c>
      <c r="F14" s="7" t="s">
        <v>216</v>
      </c>
      <c r="G14" s="8" t="s">
        <v>217</v>
      </c>
      <c r="H14" s="7" t="s">
        <v>218</v>
      </c>
      <c r="I14" s="7" t="s">
        <v>115</v>
      </c>
      <c r="J14" s="7" t="s">
        <v>66</v>
      </c>
      <c r="K14" s="7" t="s">
        <v>67</v>
      </c>
      <c r="L14" s="7" t="s">
        <v>68</v>
      </c>
      <c r="M14" s="7" t="s">
        <v>68</v>
      </c>
      <c r="N14" s="7" t="s">
        <v>68</v>
      </c>
      <c r="O14" s="7" t="s">
        <v>69</v>
      </c>
      <c r="P14" s="7" t="s">
        <v>69</v>
      </c>
      <c r="Q14" s="7" t="s">
        <v>69</v>
      </c>
      <c r="R14" s="7" t="s">
        <v>69</v>
      </c>
      <c r="S14" s="7" t="s">
        <v>69</v>
      </c>
      <c r="T14" s="7" t="s">
        <v>69</v>
      </c>
      <c r="U14" s="7" t="s">
        <v>69</v>
      </c>
      <c r="V14" s="7" t="s">
        <v>92</v>
      </c>
      <c r="W14" s="7" t="s">
        <v>68</v>
      </c>
      <c r="X14" s="9">
        <v>3.7</v>
      </c>
      <c r="Y14" s="9">
        <v>19</v>
      </c>
      <c r="Z14" s="7" t="s">
        <v>68</v>
      </c>
      <c r="AA14" s="7" t="s">
        <v>219</v>
      </c>
      <c r="AB14" s="7" t="s">
        <v>74</v>
      </c>
      <c r="AC14" s="7" t="s">
        <v>74</v>
      </c>
      <c r="AD14" s="7" t="s">
        <v>74</v>
      </c>
      <c r="AE14" s="7" t="s">
        <v>69</v>
      </c>
      <c r="AF14" s="7" t="s">
        <v>68</v>
      </c>
      <c r="AG14" s="7" t="s">
        <v>69</v>
      </c>
      <c r="AH14" s="7" t="s">
        <v>74</v>
      </c>
      <c r="AI14" s="8" t="s">
        <v>220</v>
      </c>
      <c r="AJ14" s="7" t="s">
        <v>74</v>
      </c>
      <c r="AK14" s="7" t="s">
        <v>74</v>
      </c>
      <c r="AL14" s="7" t="s">
        <v>74</v>
      </c>
      <c r="AM14" s="7" t="s">
        <v>74</v>
      </c>
      <c r="AN14" s="7" t="s">
        <v>74</v>
      </c>
      <c r="AO14" s="7" t="s">
        <v>74</v>
      </c>
      <c r="AP14" s="7" t="s">
        <v>74</v>
      </c>
      <c r="AQ14" s="7" t="s">
        <v>74</v>
      </c>
      <c r="AR14" s="7" t="s">
        <v>68</v>
      </c>
      <c r="AS14" s="7" t="s">
        <v>74</v>
      </c>
      <c r="AT14" s="7" t="s">
        <v>74</v>
      </c>
      <c r="AU14" s="7" t="s">
        <v>74</v>
      </c>
      <c r="AV14" s="7" t="s">
        <v>69</v>
      </c>
      <c r="AW14" s="7" t="s">
        <v>107</v>
      </c>
      <c r="AX14" s="7" t="s">
        <v>107</v>
      </c>
      <c r="AY14" s="7" t="s">
        <v>221</v>
      </c>
      <c r="AZ14" s="7" t="s">
        <v>222</v>
      </c>
      <c r="BA14" s="7" t="s">
        <v>223</v>
      </c>
      <c r="BB14" s="7" t="s">
        <v>224</v>
      </c>
      <c r="BC14" s="9">
        <v>25</v>
      </c>
      <c r="BD14" s="7" t="s">
        <v>119</v>
      </c>
      <c r="BE14" s="7" t="s">
        <v>225</v>
      </c>
      <c r="BF14" s="11" t="s">
        <v>226</v>
      </c>
      <c r="BG14" s="12"/>
      <c r="BH14" s="19"/>
    </row>
    <row r="15" spans="1:60" ht="14.25" customHeight="1" x14ac:dyDescent="0.3">
      <c r="A15" s="14" t="s">
        <v>227</v>
      </c>
      <c r="B15" s="15" t="s">
        <v>227</v>
      </c>
      <c r="C15" s="15" t="s">
        <v>228</v>
      </c>
      <c r="D15" s="15" t="s">
        <v>229</v>
      </c>
      <c r="E15" s="15" t="s">
        <v>189</v>
      </c>
      <c r="F15" s="15" t="s">
        <v>230</v>
      </c>
      <c r="G15" s="16" t="s">
        <v>231</v>
      </c>
      <c r="H15" s="15" t="s">
        <v>232</v>
      </c>
      <c r="I15" s="15" t="s">
        <v>115</v>
      </c>
      <c r="J15" s="15" t="s">
        <v>145</v>
      </c>
      <c r="K15" s="15" t="s">
        <v>67</v>
      </c>
      <c r="L15" s="15" t="s">
        <v>69</v>
      </c>
      <c r="M15" s="15" t="s">
        <v>69</v>
      </c>
      <c r="N15" s="15" t="s">
        <v>69</v>
      </c>
      <c r="O15" s="15" t="s">
        <v>68</v>
      </c>
      <c r="P15" s="15" t="s">
        <v>68</v>
      </c>
      <c r="Q15" s="15" t="s">
        <v>68</v>
      </c>
      <c r="R15" s="15" t="s">
        <v>69</v>
      </c>
      <c r="S15" s="15" t="s">
        <v>69</v>
      </c>
      <c r="T15" s="15" t="s">
        <v>69</v>
      </c>
      <c r="U15" s="15" t="s">
        <v>68</v>
      </c>
      <c r="V15" s="15" t="s">
        <v>115</v>
      </c>
      <c r="W15" s="15" t="s">
        <v>68</v>
      </c>
      <c r="X15" s="17">
        <v>4.9000000000000004</v>
      </c>
      <c r="Y15" s="17">
        <v>103</v>
      </c>
      <c r="Z15" s="15" t="s">
        <v>68</v>
      </c>
      <c r="AA15" s="15" t="s">
        <v>129</v>
      </c>
      <c r="AB15" s="15" t="s">
        <v>74</v>
      </c>
      <c r="AC15" s="15" t="s">
        <v>74</v>
      </c>
      <c r="AD15" s="15" t="s">
        <v>74</v>
      </c>
      <c r="AE15" s="15" t="s">
        <v>68</v>
      </c>
      <c r="AF15" s="15" t="s">
        <v>68</v>
      </c>
      <c r="AG15" s="15" t="s">
        <v>69</v>
      </c>
      <c r="AH15" s="15" t="s">
        <v>74</v>
      </c>
      <c r="AI15" s="15" t="s">
        <v>74</v>
      </c>
      <c r="AJ15" s="15" t="s">
        <v>74</v>
      </c>
      <c r="AK15" s="15" t="s">
        <v>74</v>
      </c>
      <c r="AL15" s="15" t="s">
        <v>74</v>
      </c>
      <c r="AM15" s="15" t="s">
        <v>74</v>
      </c>
      <c r="AN15" s="15" t="s">
        <v>74</v>
      </c>
      <c r="AO15" s="15" t="s">
        <v>74</v>
      </c>
      <c r="AP15" s="15" t="s">
        <v>74</v>
      </c>
      <c r="AQ15" s="15" t="s">
        <v>74</v>
      </c>
      <c r="AR15" s="15" t="s">
        <v>68</v>
      </c>
      <c r="AS15" s="15" t="s">
        <v>74</v>
      </c>
      <c r="AT15" s="15" t="s">
        <v>74</v>
      </c>
      <c r="AU15" s="15" t="s">
        <v>74</v>
      </c>
      <c r="AV15" s="15" t="s">
        <v>69</v>
      </c>
      <c r="AW15" s="15" t="s">
        <v>107</v>
      </c>
      <c r="AX15" s="15" t="s">
        <v>107</v>
      </c>
      <c r="AY15" s="15" t="s">
        <v>233</v>
      </c>
      <c r="AZ15" s="15" t="s">
        <v>74</v>
      </c>
      <c r="BA15" s="15" t="s">
        <v>74</v>
      </c>
      <c r="BB15" s="15" t="s">
        <v>74</v>
      </c>
      <c r="BC15" s="17">
        <v>40</v>
      </c>
      <c r="BD15" s="15" t="s">
        <v>97</v>
      </c>
      <c r="BE15" s="15" t="s">
        <v>74</v>
      </c>
      <c r="BF15" s="24" t="s">
        <v>231</v>
      </c>
      <c r="BG15" s="12"/>
      <c r="BH15" s="19"/>
    </row>
    <row r="16" spans="1:60" ht="14.25" customHeight="1" x14ac:dyDescent="0.3">
      <c r="A16" s="6" t="s">
        <v>234</v>
      </c>
      <c r="B16" s="7" t="s">
        <v>234</v>
      </c>
      <c r="C16" s="7" t="s">
        <v>111</v>
      </c>
      <c r="D16" s="7" t="s">
        <v>235</v>
      </c>
      <c r="E16" s="7" t="s">
        <v>236</v>
      </c>
      <c r="F16" s="7" t="s">
        <v>237</v>
      </c>
      <c r="G16" s="8" t="s">
        <v>238</v>
      </c>
      <c r="H16" s="7" t="s">
        <v>239</v>
      </c>
      <c r="I16" s="7" t="s">
        <v>65</v>
      </c>
      <c r="J16" s="7" t="s">
        <v>66</v>
      </c>
      <c r="K16" s="7" t="s">
        <v>67</v>
      </c>
      <c r="L16" s="7" t="s">
        <v>68</v>
      </c>
      <c r="M16" s="7" t="s">
        <v>68</v>
      </c>
      <c r="N16" s="7" t="s">
        <v>68</v>
      </c>
      <c r="O16" s="7" t="s">
        <v>68</v>
      </c>
      <c r="P16" s="7" t="s">
        <v>69</v>
      </c>
      <c r="Q16" s="7" t="s">
        <v>69</v>
      </c>
      <c r="R16" s="7" t="s">
        <v>69</v>
      </c>
      <c r="S16" s="7" t="s">
        <v>69</v>
      </c>
      <c r="T16" s="7" t="s">
        <v>68</v>
      </c>
      <c r="U16" s="7" t="s">
        <v>69</v>
      </c>
      <c r="V16" s="7" t="s">
        <v>115</v>
      </c>
      <c r="W16" s="7" t="s">
        <v>68</v>
      </c>
      <c r="X16" s="9">
        <v>4.9000000000000004</v>
      </c>
      <c r="Y16" s="9">
        <v>37</v>
      </c>
      <c r="Z16" s="7" t="s">
        <v>68</v>
      </c>
      <c r="AA16" s="7" t="s">
        <v>240</v>
      </c>
      <c r="AB16" s="8" t="s">
        <v>238</v>
      </c>
      <c r="AC16" s="7" t="s">
        <v>241</v>
      </c>
      <c r="AD16" s="7" t="s">
        <v>68</v>
      </c>
      <c r="AE16" s="7" t="s">
        <v>69</v>
      </c>
      <c r="AF16" s="7" t="s">
        <v>68</v>
      </c>
      <c r="AG16" s="7" t="s">
        <v>69</v>
      </c>
      <c r="AH16" s="7" t="s">
        <v>74</v>
      </c>
      <c r="AI16" s="7" t="s">
        <v>74</v>
      </c>
      <c r="AJ16" s="7" t="s">
        <v>74</v>
      </c>
      <c r="AK16" s="7" t="s">
        <v>74</v>
      </c>
      <c r="AL16" s="7" t="s">
        <v>74</v>
      </c>
      <c r="AM16" s="7" t="s">
        <v>74</v>
      </c>
      <c r="AN16" s="7" t="s">
        <v>74</v>
      </c>
      <c r="AO16" s="7" t="s">
        <v>74</v>
      </c>
      <c r="AP16" s="7" t="s">
        <v>74</v>
      </c>
      <c r="AQ16" s="7" t="s">
        <v>74</v>
      </c>
      <c r="AR16" s="7" t="s">
        <v>68</v>
      </c>
      <c r="AS16" s="7" t="s">
        <v>74</v>
      </c>
      <c r="AT16" s="7" t="s">
        <v>74</v>
      </c>
      <c r="AU16" s="7" t="s">
        <v>74</v>
      </c>
      <c r="AV16" s="7" t="s">
        <v>69</v>
      </c>
      <c r="AW16" s="7" t="s">
        <v>68</v>
      </c>
      <c r="AX16" s="7" t="s">
        <v>69</v>
      </c>
      <c r="AY16" s="7" t="s">
        <v>242</v>
      </c>
      <c r="AZ16" s="7" t="s">
        <v>74</v>
      </c>
      <c r="BA16" s="7" t="s">
        <v>74</v>
      </c>
      <c r="BB16" s="7" t="s">
        <v>74</v>
      </c>
      <c r="BC16" s="9">
        <v>35</v>
      </c>
      <c r="BD16" s="7" t="s">
        <v>119</v>
      </c>
      <c r="BE16" s="7" t="s">
        <v>74</v>
      </c>
      <c r="BF16" s="25" t="s">
        <v>243</v>
      </c>
      <c r="BG16" s="12"/>
      <c r="BH16" s="19"/>
    </row>
    <row r="17" spans="1:60" ht="14.25" customHeight="1" x14ac:dyDescent="0.3">
      <c r="A17" s="14" t="s">
        <v>244</v>
      </c>
      <c r="B17" s="15" t="s">
        <v>244</v>
      </c>
      <c r="C17" s="15" t="s">
        <v>122</v>
      </c>
      <c r="D17" s="15" t="s">
        <v>245</v>
      </c>
      <c r="E17" s="15" t="s">
        <v>246</v>
      </c>
      <c r="F17" s="17">
        <v>8102914904</v>
      </c>
      <c r="G17" s="16" t="s">
        <v>247</v>
      </c>
      <c r="H17" s="15" t="s">
        <v>248</v>
      </c>
      <c r="I17" s="15" t="s">
        <v>90</v>
      </c>
      <c r="J17" s="15" t="s">
        <v>145</v>
      </c>
      <c r="K17" s="15" t="s">
        <v>67</v>
      </c>
      <c r="L17" s="15" t="s">
        <v>69</v>
      </c>
      <c r="M17" s="15" t="s">
        <v>69</v>
      </c>
      <c r="N17" s="15" t="s">
        <v>69</v>
      </c>
      <c r="O17" s="15" t="s">
        <v>69</v>
      </c>
      <c r="P17" s="15" t="s">
        <v>68</v>
      </c>
      <c r="Q17" s="15" t="s">
        <v>69</v>
      </c>
      <c r="R17" s="15" t="s">
        <v>69</v>
      </c>
      <c r="S17" s="15" t="s">
        <v>69</v>
      </c>
      <c r="T17" s="15" t="s">
        <v>69</v>
      </c>
      <c r="U17" s="15" t="s">
        <v>68</v>
      </c>
      <c r="V17" s="15" t="s">
        <v>92</v>
      </c>
      <c r="W17" s="15" t="s">
        <v>68</v>
      </c>
      <c r="X17" s="17">
        <v>4</v>
      </c>
      <c r="Y17" s="17">
        <v>18</v>
      </c>
      <c r="Z17" s="15" t="s">
        <v>68</v>
      </c>
      <c r="AA17" s="15" t="s">
        <v>129</v>
      </c>
      <c r="AB17" s="15" t="s">
        <v>74</v>
      </c>
      <c r="AC17" s="15" t="s">
        <v>74</v>
      </c>
      <c r="AD17" s="15" t="s">
        <v>74</v>
      </c>
      <c r="AE17" s="15" t="s">
        <v>68</v>
      </c>
      <c r="AF17" s="15" t="s">
        <v>68</v>
      </c>
      <c r="AG17" s="15" t="s">
        <v>69</v>
      </c>
      <c r="AH17" s="15" t="s">
        <v>74</v>
      </c>
      <c r="AI17" s="15" t="s">
        <v>74</v>
      </c>
      <c r="AJ17" s="15" t="s">
        <v>74</v>
      </c>
      <c r="AK17" s="15" t="s">
        <v>74</v>
      </c>
      <c r="AL17" s="15" t="s">
        <v>74</v>
      </c>
      <c r="AM17" s="15" t="s">
        <v>74</v>
      </c>
      <c r="AN17" s="15" t="s">
        <v>74</v>
      </c>
      <c r="AO17" s="15" t="s">
        <v>74</v>
      </c>
      <c r="AP17" s="15" t="s">
        <v>74</v>
      </c>
      <c r="AQ17" s="15" t="s">
        <v>74</v>
      </c>
      <c r="AR17" s="15" t="s">
        <v>68</v>
      </c>
      <c r="AS17" s="15" t="s">
        <v>74</v>
      </c>
      <c r="AT17" s="15" t="s">
        <v>74</v>
      </c>
      <c r="AU17" s="15" t="s">
        <v>74</v>
      </c>
      <c r="AV17" s="15" t="s">
        <v>69</v>
      </c>
      <c r="AW17" s="15" t="s">
        <v>107</v>
      </c>
      <c r="AX17" s="15" t="s">
        <v>107</v>
      </c>
      <c r="AY17" s="15" t="s">
        <v>249</v>
      </c>
      <c r="AZ17" s="15" t="s">
        <v>74</v>
      </c>
      <c r="BA17" s="15" t="s">
        <v>74</v>
      </c>
      <c r="BB17" s="15" t="s">
        <v>74</v>
      </c>
      <c r="BC17" s="17">
        <v>15</v>
      </c>
      <c r="BD17" s="15" t="s">
        <v>250</v>
      </c>
      <c r="BE17" s="15" t="s">
        <v>74</v>
      </c>
      <c r="BF17" s="18" t="s">
        <v>251</v>
      </c>
      <c r="BG17" s="12"/>
      <c r="BH17" s="19"/>
    </row>
    <row r="18" spans="1:60" ht="14.25" customHeight="1" x14ac:dyDescent="0.3">
      <c r="A18" s="6" t="s">
        <v>252</v>
      </c>
      <c r="B18" s="7" t="s">
        <v>252</v>
      </c>
      <c r="C18" s="7" t="s">
        <v>122</v>
      </c>
      <c r="D18" s="7" t="s">
        <v>253</v>
      </c>
      <c r="E18" s="7" t="s">
        <v>254</v>
      </c>
      <c r="F18" s="9">
        <v>8071325800</v>
      </c>
      <c r="G18" s="8" t="s">
        <v>255</v>
      </c>
      <c r="H18" s="7" t="s">
        <v>144</v>
      </c>
      <c r="I18" s="7" t="s">
        <v>90</v>
      </c>
      <c r="J18" s="7" t="s">
        <v>145</v>
      </c>
      <c r="K18" s="7" t="s">
        <v>67</v>
      </c>
      <c r="L18" s="7" t="s">
        <v>69</v>
      </c>
      <c r="M18" s="7" t="s">
        <v>69</v>
      </c>
      <c r="N18" s="7" t="s">
        <v>69</v>
      </c>
      <c r="O18" s="7" t="s">
        <v>69</v>
      </c>
      <c r="P18" s="7" t="s">
        <v>68</v>
      </c>
      <c r="Q18" s="7" t="s">
        <v>69</v>
      </c>
      <c r="R18" s="7" t="s">
        <v>69</v>
      </c>
      <c r="S18" s="7" t="s">
        <v>69</v>
      </c>
      <c r="T18" s="7" t="s">
        <v>69</v>
      </c>
      <c r="U18" s="7" t="s">
        <v>68</v>
      </c>
      <c r="V18" s="7" t="s">
        <v>92</v>
      </c>
      <c r="W18" s="7" t="s">
        <v>68</v>
      </c>
      <c r="X18" s="9">
        <v>4.9000000000000004</v>
      </c>
      <c r="Y18" s="9">
        <v>93</v>
      </c>
      <c r="Z18" s="7" t="s">
        <v>68</v>
      </c>
      <c r="AA18" s="7" t="s">
        <v>129</v>
      </c>
      <c r="AB18" s="7" t="s">
        <v>74</v>
      </c>
      <c r="AC18" s="7" t="s">
        <v>74</v>
      </c>
      <c r="AD18" s="7" t="s">
        <v>74</v>
      </c>
      <c r="AE18" s="7" t="s">
        <v>69</v>
      </c>
      <c r="AF18" s="7" t="s">
        <v>68</v>
      </c>
      <c r="AG18" s="7" t="s">
        <v>69</v>
      </c>
      <c r="AH18" s="7" t="s">
        <v>74</v>
      </c>
      <c r="AI18" s="7" t="s">
        <v>74</v>
      </c>
      <c r="AJ18" s="7" t="s">
        <v>74</v>
      </c>
      <c r="AK18" s="7" t="s">
        <v>74</v>
      </c>
      <c r="AL18" s="7" t="s">
        <v>74</v>
      </c>
      <c r="AM18" s="7" t="s">
        <v>74</v>
      </c>
      <c r="AN18" s="7" t="s">
        <v>74</v>
      </c>
      <c r="AO18" s="7" t="s">
        <v>74</v>
      </c>
      <c r="AP18" s="7" t="s">
        <v>74</v>
      </c>
      <c r="AQ18" s="7" t="s">
        <v>74</v>
      </c>
      <c r="AR18" s="7" t="s">
        <v>68</v>
      </c>
      <c r="AS18" s="7" t="s">
        <v>74</v>
      </c>
      <c r="AT18" s="7" t="s">
        <v>74</v>
      </c>
      <c r="AU18" s="7" t="s">
        <v>74</v>
      </c>
      <c r="AV18" s="7" t="s">
        <v>69</v>
      </c>
      <c r="AW18" s="7" t="s">
        <v>107</v>
      </c>
      <c r="AX18" s="7" t="s">
        <v>107</v>
      </c>
      <c r="AY18" s="7" t="s">
        <v>256</v>
      </c>
      <c r="AZ18" s="7" t="s">
        <v>257</v>
      </c>
      <c r="BA18" s="7" t="s">
        <v>258</v>
      </c>
      <c r="BB18" s="7" t="s">
        <v>259</v>
      </c>
      <c r="BC18" s="9">
        <v>20</v>
      </c>
      <c r="BD18" s="7" t="s">
        <v>119</v>
      </c>
      <c r="BE18" s="7" t="s">
        <v>260</v>
      </c>
      <c r="BF18" s="11" t="s">
        <v>261</v>
      </c>
      <c r="BG18" s="12"/>
      <c r="BH18" s="19"/>
    </row>
    <row r="19" spans="1:60" ht="14.25" customHeight="1" x14ac:dyDescent="0.3">
      <c r="A19" s="14" t="s">
        <v>262</v>
      </c>
      <c r="B19" s="15" t="s">
        <v>262</v>
      </c>
      <c r="C19" s="15" t="s">
        <v>122</v>
      </c>
      <c r="D19" s="15" t="s">
        <v>263</v>
      </c>
      <c r="E19" s="15" t="s">
        <v>254</v>
      </c>
      <c r="F19" s="17">
        <v>7765999431</v>
      </c>
      <c r="G19" s="16" t="s">
        <v>264</v>
      </c>
      <c r="H19" s="15" t="s">
        <v>144</v>
      </c>
      <c r="I19" s="15" t="s">
        <v>90</v>
      </c>
      <c r="J19" s="15" t="s">
        <v>145</v>
      </c>
      <c r="K19" s="15" t="s">
        <v>67</v>
      </c>
      <c r="L19" s="15" t="s">
        <v>69</v>
      </c>
      <c r="M19" s="15" t="s">
        <v>69</v>
      </c>
      <c r="N19" s="15" t="s">
        <v>69</v>
      </c>
      <c r="O19" s="15" t="s">
        <v>69</v>
      </c>
      <c r="P19" s="15" t="s">
        <v>68</v>
      </c>
      <c r="Q19" s="15" t="s">
        <v>69</v>
      </c>
      <c r="R19" s="15" t="s">
        <v>69</v>
      </c>
      <c r="S19" s="15" t="s">
        <v>69</v>
      </c>
      <c r="T19" s="15" t="s">
        <v>69</v>
      </c>
      <c r="U19" s="15" t="s">
        <v>68</v>
      </c>
      <c r="V19" s="15" t="s">
        <v>92</v>
      </c>
      <c r="W19" s="15" t="s">
        <v>68</v>
      </c>
      <c r="X19" s="17">
        <v>4.8</v>
      </c>
      <c r="Y19" s="17">
        <v>11</v>
      </c>
      <c r="Z19" s="15" t="s">
        <v>68</v>
      </c>
      <c r="AA19" s="15" t="s">
        <v>265</v>
      </c>
      <c r="AB19" s="15" t="s">
        <v>74</v>
      </c>
      <c r="AC19" s="15" t="s">
        <v>74</v>
      </c>
      <c r="AD19" s="15" t="s">
        <v>74</v>
      </c>
      <c r="AE19" s="15" t="s">
        <v>69</v>
      </c>
      <c r="AF19" s="15" t="s">
        <v>68</v>
      </c>
      <c r="AG19" s="15" t="s">
        <v>69</v>
      </c>
      <c r="AH19" s="15" t="s">
        <v>74</v>
      </c>
      <c r="AI19" s="15" t="s">
        <v>74</v>
      </c>
      <c r="AJ19" s="15" t="s">
        <v>74</v>
      </c>
      <c r="AK19" s="15" t="s">
        <v>74</v>
      </c>
      <c r="AL19" s="15" t="s">
        <v>74</v>
      </c>
      <c r="AM19" s="15" t="s">
        <v>74</v>
      </c>
      <c r="AN19" s="15" t="s">
        <v>74</v>
      </c>
      <c r="AO19" s="15" t="s">
        <v>74</v>
      </c>
      <c r="AP19" s="15" t="s">
        <v>74</v>
      </c>
      <c r="AQ19" s="15" t="s">
        <v>74</v>
      </c>
      <c r="AR19" s="15" t="s">
        <v>68</v>
      </c>
      <c r="AS19" s="15" t="s">
        <v>74</v>
      </c>
      <c r="AT19" s="15" t="s">
        <v>74</v>
      </c>
      <c r="AU19" s="15" t="s">
        <v>74</v>
      </c>
      <c r="AV19" s="15" t="s">
        <v>69</v>
      </c>
      <c r="AW19" s="15" t="s">
        <v>107</v>
      </c>
      <c r="AX19" s="15" t="s">
        <v>107</v>
      </c>
      <c r="AY19" s="15" t="s">
        <v>266</v>
      </c>
      <c r="AZ19" s="15" t="s">
        <v>74</v>
      </c>
      <c r="BA19" s="15" t="s">
        <v>74</v>
      </c>
      <c r="BB19" s="15" t="s">
        <v>74</v>
      </c>
      <c r="BC19" s="17">
        <v>15</v>
      </c>
      <c r="BD19" s="15" t="s">
        <v>250</v>
      </c>
      <c r="BE19" s="15" t="s">
        <v>74</v>
      </c>
      <c r="BF19" s="24" t="s">
        <v>267</v>
      </c>
      <c r="BG19" s="12"/>
      <c r="BH19" s="19"/>
    </row>
    <row r="20" spans="1:60" ht="14.25" customHeight="1" x14ac:dyDescent="0.3">
      <c r="A20" s="6" t="s">
        <v>268</v>
      </c>
      <c r="B20" s="7" t="s">
        <v>268</v>
      </c>
      <c r="C20" s="7" t="s">
        <v>100</v>
      </c>
      <c r="D20" s="7" t="s">
        <v>269</v>
      </c>
      <c r="E20" s="7" t="s">
        <v>270</v>
      </c>
      <c r="F20" s="9">
        <v>8252473245</v>
      </c>
      <c r="G20" s="8" t="s">
        <v>271</v>
      </c>
      <c r="H20" s="7" t="s">
        <v>272</v>
      </c>
      <c r="I20" s="7" t="s">
        <v>90</v>
      </c>
      <c r="J20" s="7" t="s">
        <v>145</v>
      </c>
      <c r="K20" s="7" t="s">
        <v>67</v>
      </c>
      <c r="L20" s="7" t="s">
        <v>68</v>
      </c>
      <c r="M20" s="7" t="s">
        <v>69</v>
      </c>
      <c r="N20" s="7" t="s">
        <v>69</v>
      </c>
      <c r="O20" s="7" t="s">
        <v>69</v>
      </c>
      <c r="P20" s="7" t="s">
        <v>69</v>
      </c>
      <c r="Q20" s="7" t="s">
        <v>69</v>
      </c>
      <c r="R20" s="7" t="s">
        <v>69</v>
      </c>
      <c r="S20" s="7" t="s">
        <v>69</v>
      </c>
      <c r="T20" s="7" t="s">
        <v>68</v>
      </c>
      <c r="U20" s="7" t="s">
        <v>69</v>
      </c>
      <c r="V20" s="7" t="s">
        <v>92</v>
      </c>
      <c r="W20" s="7" t="s">
        <v>68</v>
      </c>
      <c r="X20" s="9">
        <v>4.3</v>
      </c>
      <c r="Y20" s="9">
        <v>3</v>
      </c>
      <c r="Z20" s="7" t="s">
        <v>68</v>
      </c>
      <c r="AA20" s="7" t="s">
        <v>74</v>
      </c>
      <c r="AB20" s="7" t="s">
        <v>74</v>
      </c>
      <c r="AC20" s="7" t="s">
        <v>74</v>
      </c>
      <c r="AD20" s="7" t="s">
        <v>74</v>
      </c>
      <c r="AE20" s="7" t="s">
        <v>74</v>
      </c>
      <c r="AF20" s="7" t="s">
        <v>74</v>
      </c>
      <c r="AG20" s="7" t="s">
        <v>74</v>
      </c>
      <c r="AH20" s="7" t="s">
        <v>74</v>
      </c>
      <c r="AI20" s="7" t="s">
        <v>74</v>
      </c>
      <c r="AJ20" s="7" t="s">
        <v>74</v>
      </c>
      <c r="AK20" s="7" t="s">
        <v>74</v>
      </c>
      <c r="AL20" s="7" t="s">
        <v>74</v>
      </c>
      <c r="AM20" s="7" t="s">
        <v>74</v>
      </c>
      <c r="AN20" s="7" t="s">
        <v>74</v>
      </c>
      <c r="AO20" s="7" t="s">
        <v>74</v>
      </c>
      <c r="AP20" s="7" t="s">
        <v>74</v>
      </c>
      <c r="AQ20" s="7" t="s">
        <v>74</v>
      </c>
      <c r="AR20" s="7" t="s">
        <v>74</v>
      </c>
      <c r="AS20" s="7" t="s">
        <v>74</v>
      </c>
      <c r="AT20" s="7" t="s">
        <v>74</v>
      </c>
      <c r="AU20" s="7" t="s">
        <v>74</v>
      </c>
      <c r="AV20" s="7" t="s">
        <v>69</v>
      </c>
      <c r="AW20" s="7" t="s">
        <v>107</v>
      </c>
      <c r="AX20" s="7" t="s">
        <v>107</v>
      </c>
      <c r="AY20" s="7" t="s">
        <v>273</v>
      </c>
      <c r="AZ20" s="7" t="s">
        <v>274</v>
      </c>
      <c r="BA20" s="7" t="s">
        <v>275</v>
      </c>
      <c r="BB20" s="7" t="s">
        <v>276</v>
      </c>
      <c r="BC20" s="9">
        <v>15</v>
      </c>
      <c r="BD20" s="7" t="s">
        <v>250</v>
      </c>
      <c r="BE20" s="7" t="s">
        <v>277</v>
      </c>
      <c r="BF20" s="11" t="s">
        <v>278</v>
      </c>
      <c r="BG20" s="23"/>
      <c r="BH20" s="19"/>
    </row>
    <row r="21" spans="1:60" ht="14.25" customHeight="1" x14ac:dyDescent="0.3">
      <c r="A21" s="14" t="s">
        <v>279</v>
      </c>
      <c r="B21" s="15" t="s">
        <v>279</v>
      </c>
      <c r="C21" s="15" t="s">
        <v>122</v>
      </c>
      <c r="D21" s="15" t="s">
        <v>280</v>
      </c>
      <c r="E21" s="15" t="s">
        <v>281</v>
      </c>
      <c r="F21" s="17">
        <v>9431114670</v>
      </c>
      <c r="G21" s="16" t="s">
        <v>282</v>
      </c>
      <c r="H21" s="15" t="s">
        <v>144</v>
      </c>
      <c r="I21" s="15" t="s">
        <v>90</v>
      </c>
      <c r="J21" s="15" t="s">
        <v>145</v>
      </c>
      <c r="K21" s="15" t="s">
        <v>67</v>
      </c>
      <c r="L21" s="15" t="s">
        <v>69</v>
      </c>
      <c r="M21" s="15" t="s">
        <v>69</v>
      </c>
      <c r="N21" s="15" t="s">
        <v>69</v>
      </c>
      <c r="O21" s="15" t="s">
        <v>69</v>
      </c>
      <c r="P21" s="15" t="s">
        <v>68</v>
      </c>
      <c r="Q21" s="15" t="s">
        <v>69</v>
      </c>
      <c r="R21" s="15" t="s">
        <v>69</v>
      </c>
      <c r="S21" s="15" t="s">
        <v>69</v>
      </c>
      <c r="T21" s="15" t="s">
        <v>69</v>
      </c>
      <c r="U21" s="15" t="s">
        <v>68</v>
      </c>
      <c r="V21" s="15" t="s">
        <v>92</v>
      </c>
      <c r="W21" s="15" t="s">
        <v>68</v>
      </c>
      <c r="X21" s="17">
        <v>3.5</v>
      </c>
      <c r="Y21" s="17">
        <v>55</v>
      </c>
      <c r="Z21" s="15" t="s">
        <v>68</v>
      </c>
      <c r="AA21" s="15" t="s">
        <v>283</v>
      </c>
      <c r="AB21" s="15" t="s">
        <v>74</v>
      </c>
      <c r="AC21" s="15" t="s">
        <v>74</v>
      </c>
      <c r="AD21" s="15" t="s">
        <v>74</v>
      </c>
      <c r="AE21" s="15" t="s">
        <v>69</v>
      </c>
      <c r="AF21" s="15" t="s">
        <v>68</v>
      </c>
      <c r="AG21" s="15" t="s">
        <v>68</v>
      </c>
      <c r="AH21" s="15" t="s">
        <v>74</v>
      </c>
      <c r="AI21" s="15" t="s">
        <v>74</v>
      </c>
      <c r="AJ21" s="15" t="s">
        <v>74</v>
      </c>
      <c r="AK21" s="15" t="s">
        <v>74</v>
      </c>
      <c r="AL21" s="15" t="s">
        <v>74</v>
      </c>
      <c r="AM21" s="15" t="s">
        <v>74</v>
      </c>
      <c r="AN21" s="15" t="s">
        <v>74</v>
      </c>
      <c r="AO21" s="15" t="s">
        <v>74</v>
      </c>
      <c r="AP21" s="15" t="s">
        <v>74</v>
      </c>
      <c r="AQ21" s="15" t="s">
        <v>74</v>
      </c>
      <c r="AR21" s="15" t="s">
        <v>68</v>
      </c>
      <c r="AS21" s="15" t="s">
        <v>74</v>
      </c>
      <c r="AT21" s="15" t="s">
        <v>74</v>
      </c>
      <c r="AU21" s="15" t="s">
        <v>74</v>
      </c>
      <c r="AV21" s="15" t="s">
        <v>69</v>
      </c>
      <c r="AW21" s="15" t="s">
        <v>107</v>
      </c>
      <c r="AX21" s="15" t="s">
        <v>107</v>
      </c>
      <c r="AY21" s="15" t="s">
        <v>284</v>
      </c>
      <c r="AZ21" s="15" t="s">
        <v>74</v>
      </c>
      <c r="BA21" s="15" t="s">
        <v>74</v>
      </c>
      <c r="BB21" s="15" t="s">
        <v>74</v>
      </c>
      <c r="BC21" s="17">
        <v>20</v>
      </c>
      <c r="BD21" s="15" t="s">
        <v>119</v>
      </c>
      <c r="BE21" s="15" t="s">
        <v>74</v>
      </c>
      <c r="BF21" s="24" t="s">
        <v>285</v>
      </c>
      <c r="BG21" s="12"/>
      <c r="BH21" s="19"/>
    </row>
    <row r="22" spans="1:60" ht="14.25" customHeight="1" x14ac:dyDescent="0.3">
      <c r="A22" s="6" t="s">
        <v>286</v>
      </c>
      <c r="B22" s="7" t="s">
        <v>286</v>
      </c>
      <c r="C22" s="7" t="s">
        <v>100</v>
      </c>
      <c r="D22" s="7" t="s">
        <v>287</v>
      </c>
      <c r="E22" s="7" t="s">
        <v>288</v>
      </c>
      <c r="F22" s="7" t="s">
        <v>289</v>
      </c>
      <c r="G22" s="8" t="s">
        <v>290</v>
      </c>
      <c r="H22" s="7" t="s">
        <v>272</v>
      </c>
      <c r="I22" s="7" t="s">
        <v>90</v>
      </c>
      <c r="J22" s="7" t="s">
        <v>66</v>
      </c>
      <c r="K22" s="7" t="s">
        <v>67</v>
      </c>
      <c r="L22" s="7" t="s">
        <v>68</v>
      </c>
      <c r="M22" s="7" t="s">
        <v>69</v>
      </c>
      <c r="N22" s="7" t="s">
        <v>69</v>
      </c>
      <c r="O22" s="7" t="s">
        <v>69</v>
      </c>
      <c r="P22" s="7" t="s">
        <v>69</v>
      </c>
      <c r="Q22" s="7" t="s">
        <v>69</v>
      </c>
      <c r="R22" s="7" t="s">
        <v>69</v>
      </c>
      <c r="S22" s="7" t="s">
        <v>69</v>
      </c>
      <c r="T22" s="7" t="s">
        <v>68</v>
      </c>
      <c r="U22" s="7" t="s">
        <v>69</v>
      </c>
      <c r="V22" s="7" t="s">
        <v>92</v>
      </c>
      <c r="W22" s="7" t="s">
        <v>68</v>
      </c>
      <c r="X22" s="9">
        <v>4.5</v>
      </c>
      <c r="Y22" s="9">
        <v>14</v>
      </c>
      <c r="Z22" s="7" t="s">
        <v>68</v>
      </c>
      <c r="AA22" s="7" t="s">
        <v>116</v>
      </c>
      <c r="AB22" s="21" t="s">
        <v>291</v>
      </c>
      <c r="AC22" s="7" t="s">
        <v>292</v>
      </c>
      <c r="AD22" s="7" t="s">
        <v>68</v>
      </c>
      <c r="AE22" s="7" t="s">
        <v>69</v>
      </c>
      <c r="AF22" s="7" t="s">
        <v>68</v>
      </c>
      <c r="AG22" s="7" t="s">
        <v>69</v>
      </c>
      <c r="AH22" s="7" t="s">
        <v>74</v>
      </c>
      <c r="AI22" s="7" t="s">
        <v>74</v>
      </c>
      <c r="AJ22" s="7" t="s">
        <v>74</v>
      </c>
      <c r="AK22" s="8" t="s">
        <v>293</v>
      </c>
      <c r="AL22" s="7" t="s">
        <v>74</v>
      </c>
      <c r="AM22" s="7" t="s">
        <v>74</v>
      </c>
      <c r="AN22" s="7" t="s">
        <v>74</v>
      </c>
      <c r="AO22" s="7" t="s">
        <v>74</v>
      </c>
      <c r="AP22" s="7" t="s">
        <v>74</v>
      </c>
      <c r="AQ22" s="7" t="s">
        <v>74</v>
      </c>
      <c r="AR22" s="7" t="s">
        <v>68</v>
      </c>
      <c r="AS22" s="7" t="s">
        <v>74</v>
      </c>
      <c r="AT22" s="7" t="s">
        <v>74</v>
      </c>
      <c r="AU22" s="7" t="s">
        <v>74</v>
      </c>
      <c r="AV22" s="7" t="s">
        <v>69</v>
      </c>
      <c r="AW22" s="7" t="s">
        <v>68</v>
      </c>
      <c r="AX22" s="7" t="s">
        <v>69</v>
      </c>
      <c r="AY22" s="7" t="s">
        <v>294</v>
      </c>
      <c r="AZ22" s="7" t="s">
        <v>295</v>
      </c>
      <c r="BA22" s="7" t="s">
        <v>296</v>
      </c>
      <c r="BB22" s="7" t="s">
        <v>297</v>
      </c>
      <c r="BC22" s="9">
        <v>35</v>
      </c>
      <c r="BD22" s="7" t="s">
        <v>119</v>
      </c>
      <c r="BE22" s="7" t="s">
        <v>298</v>
      </c>
      <c r="BF22" s="11" t="s">
        <v>299</v>
      </c>
      <c r="BG22" s="23"/>
      <c r="BH22" s="19"/>
    </row>
    <row r="23" spans="1:60" ht="14.25" customHeight="1" x14ac:dyDescent="0.3">
      <c r="A23" s="14" t="s">
        <v>300</v>
      </c>
      <c r="B23" s="15" t="s">
        <v>300</v>
      </c>
      <c r="C23" s="15" t="s">
        <v>100</v>
      </c>
      <c r="D23" s="15" t="s">
        <v>301</v>
      </c>
      <c r="E23" s="15" t="s">
        <v>302</v>
      </c>
      <c r="F23" s="17">
        <v>9955392046</v>
      </c>
      <c r="G23" s="16" t="s">
        <v>303</v>
      </c>
      <c r="H23" s="15" t="s">
        <v>272</v>
      </c>
      <c r="I23" s="15" t="s">
        <v>90</v>
      </c>
      <c r="J23" s="15" t="s">
        <v>66</v>
      </c>
      <c r="K23" s="15" t="s">
        <v>67</v>
      </c>
      <c r="L23" s="15" t="s">
        <v>68</v>
      </c>
      <c r="M23" s="15" t="s">
        <v>69</v>
      </c>
      <c r="N23" s="15" t="s">
        <v>69</v>
      </c>
      <c r="O23" s="15" t="s">
        <v>69</v>
      </c>
      <c r="P23" s="15" t="s">
        <v>69</v>
      </c>
      <c r="Q23" s="15" t="s">
        <v>69</v>
      </c>
      <c r="R23" s="15" t="s">
        <v>69</v>
      </c>
      <c r="S23" s="15" t="s">
        <v>69</v>
      </c>
      <c r="T23" s="15" t="s">
        <v>68</v>
      </c>
      <c r="U23" s="15" t="s">
        <v>69</v>
      </c>
      <c r="V23" s="15" t="s">
        <v>92</v>
      </c>
      <c r="W23" s="15" t="s">
        <v>68</v>
      </c>
      <c r="X23" s="17">
        <v>3.9</v>
      </c>
      <c r="Y23" s="17">
        <v>18</v>
      </c>
      <c r="Z23" s="15" t="s">
        <v>68</v>
      </c>
      <c r="AA23" s="15" t="s">
        <v>283</v>
      </c>
      <c r="AB23" s="15" t="s">
        <v>74</v>
      </c>
      <c r="AC23" s="15" t="s">
        <v>74</v>
      </c>
      <c r="AD23" s="15" t="s">
        <v>74</v>
      </c>
      <c r="AE23" s="15" t="s">
        <v>69</v>
      </c>
      <c r="AF23" s="15" t="s">
        <v>68</v>
      </c>
      <c r="AG23" s="15" t="s">
        <v>69</v>
      </c>
      <c r="AH23" s="15" t="s">
        <v>74</v>
      </c>
      <c r="AI23" s="15" t="s">
        <v>74</v>
      </c>
      <c r="AJ23" s="15" t="s">
        <v>74</v>
      </c>
      <c r="AK23" s="15" t="s">
        <v>74</v>
      </c>
      <c r="AL23" s="15" t="s">
        <v>74</v>
      </c>
      <c r="AM23" s="15" t="s">
        <v>74</v>
      </c>
      <c r="AN23" s="15" t="s">
        <v>74</v>
      </c>
      <c r="AO23" s="15" t="s">
        <v>74</v>
      </c>
      <c r="AP23" s="15" t="s">
        <v>74</v>
      </c>
      <c r="AQ23" s="15" t="s">
        <v>74</v>
      </c>
      <c r="AR23" s="15" t="s">
        <v>68</v>
      </c>
      <c r="AS23" s="15" t="s">
        <v>74</v>
      </c>
      <c r="AT23" s="15" t="s">
        <v>74</v>
      </c>
      <c r="AU23" s="15" t="s">
        <v>74</v>
      </c>
      <c r="AV23" s="15" t="s">
        <v>69</v>
      </c>
      <c r="AW23" s="15" t="s">
        <v>107</v>
      </c>
      <c r="AX23" s="15" t="s">
        <v>107</v>
      </c>
      <c r="AY23" s="15" t="s">
        <v>304</v>
      </c>
      <c r="AZ23" s="15" t="s">
        <v>74</v>
      </c>
      <c r="BA23" s="15" t="s">
        <v>74</v>
      </c>
      <c r="BB23" s="15" t="s">
        <v>74</v>
      </c>
      <c r="BC23" s="17">
        <v>15</v>
      </c>
      <c r="BD23" s="15" t="s">
        <v>250</v>
      </c>
      <c r="BE23" s="15" t="s">
        <v>74</v>
      </c>
      <c r="BF23" s="24" t="s">
        <v>305</v>
      </c>
      <c r="BG23" s="12"/>
      <c r="BH23" s="19"/>
    </row>
    <row r="24" spans="1:60" ht="14.25" customHeight="1" x14ac:dyDescent="0.3">
      <c r="A24" s="6" t="s">
        <v>306</v>
      </c>
      <c r="B24" s="7" t="s">
        <v>306</v>
      </c>
      <c r="C24" s="7" t="s">
        <v>307</v>
      </c>
      <c r="D24" s="7" t="s">
        <v>308</v>
      </c>
      <c r="E24" s="7" t="s">
        <v>173</v>
      </c>
      <c r="F24" s="9">
        <v>9534061533</v>
      </c>
      <c r="G24" s="8" t="s">
        <v>309</v>
      </c>
      <c r="H24" s="7" t="s">
        <v>310</v>
      </c>
      <c r="I24" s="7" t="s">
        <v>115</v>
      </c>
      <c r="J24" s="7" t="s">
        <v>66</v>
      </c>
      <c r="K24" s="7" t="s">
        <v>67</v>
      </c>
      <c r="L24" s="7" t="s">
        <v>69</v>
      </c>
      <c r="M24" s="7" t="s">
        <v>69</v>
      </c>
      <c r="N24" s="7" t="s">
        <v>69</v>
      </c>
      <c r="O24" s="7" t="s">
        <v>69</v>
      </c>
      <c r="P24" s="7" t="s">
        <v>69</v>
      </c>
      <c r="Q24" s="7" t="s">
        <v>69</v>
      </c>
      <c r="R24" s="7" t="s">
        <v>68</v>
      </c>
      <c r="S24" s="7" t="s">
        <v>68</v>
      </c>
      <c r="T24" s="7" t="s">
        <v>69</v>
      </c>
      <c r="U24" s="7" t="s">
        <v>68</v>
      </c>
      <c r="V24" s="7" t="s">
        <v>92</v>
      </c>
      <c r="W24" s="7" t="s">
        <v>68</v>
      </c>
      <c r="X24" s="9">
        <v>4.9000000000000004</v>
      </c>
      <c r="Y24" s="9">
        <v>16</v>
      </c>
      <c r="Z24" s="7" t="s">
        <v>68</v>
      </c>
      <c r="AA24" s="7" t="s">
        <v>71</v>
      </c>
      <c r="AB24" s="7" t="s">
        <v>74</v>
      </c>
      <c r="AC24" s="7" t="s">
        <v>74</v>
      </c>
      <c r="AD24" s="7" t="s">
        <v>74</v>
      </c>
      <c r="AE24" s="7" t="s">
        <v>69</v>
      </c>
      <c r="AF24" s="7" t="s">
        <v>68</v>
      </c>
      <c r="AG24" s="7" t="s">
        <v>69</v>
      </c>
      <c r="AH24" s="7" t="s">
        <v>74</v>
      </c>
      <c r="AI24" s="7" t="s">
        <v>74</v>
      </c>
      <c r="AJ24" s="8" t="s">
        <v>311</v>
      </c>
      <c r="AK24" s="7" t="s">
        <v>74</v>
      </c>
      <c r="AL24" s="7" t="s">
        <v>74</v>
      </c>
      <c r="AM24" s="7" t="s">
        <v>74</v>
      </c>
      <c r="AN24" s="7" t="s">
        <v>74</v>
      </c>
      <c r="AO24" s="7" t="s">
        <v>74</v>
      </c>
      <c r="AP24" s="7" t="s">
        <v>74</v>
      </c>
      <c r="AQ24" s="7" t="s">
        <v>74</v>
      </c>
      <c r="AR24" s="7" t="s">
        <v>68</v>
      </c>
      <c r="AS24" s="7" t="s">
        <v>74</v>
      </c>
      <c r="AT24" s="7" t="s">
        <v>74</v>
      </c>
      <c r="AU24" s="7" t="s">
        <v>74</v>
      </c>
      <c r="AV24" s="7" t="s">
        <v>69</v>
      </c>
      <c r="AW24" s="7" t="s">
        <v>107</v>
      </c>
      <c r="AX24" s="7" t="s">
        <v>107</v>
      </c>
      <c r="AY24" s="7" t="s">
        <v>312</v>
      </c>
      <c r="AZ24" s="7" t="s">
        <v>74</v>
      </c>
      <c r="BA24" s="7" t="s">
        <v>74</v>
      </c>
      <c r="BB24" s="7" t="s">
        <v>74</v>
      </c>
      <c r="BC24" s="9">
        <v>45</v>
      </c>
      <c r="BD24" s="7" t="s">
        <v>97</v>
      </c>
      <c r="BE24" s="7" t="s">
        <v>74</v>
      </c>
      <c r="BF24" s="25" t="s">
        <v>313</v>
      </c>
      <c r="BG24" s="12"/>
      <c r="BH24" s="19"/>
    </row>
    <row r="25" spans="1:60" ht="14.25" customHeight="1" x14ac:dyDescent="0.3">
      <c r="A25" s="14" t="s">
        <v>314</v>
      </c>
      <c r="B25" s="15" t="s">
        <v>314</v>
      </c>
      <c r="C25" s="15" t="s">
        <v>315</v>
      </c>
      <c r="D25" s="15" t="s">
        <v>316</v>
      </c>
      <c r="E25" s="15" t="s">
        <v>317</v>
      </c>
      <c r="F25" s="17">
        <v>8451806910</v>
      </c>
      <c r="G25" s="16" t="s">
        <v>318</v>
      </c>
      <c r="H25" s="15" t="s">
        <v>319</v>
      </c>
      <c r="I25" s="15" t="s">
        <v>90</v>
      </c>
      <c r="J25" s="15" t="s">
        <v>66</v>
      </c>
      <c r="K25" s="15" t="s">
        <v>67</v>
      </c>
      <c r="L25" s="15" t="s">
        <v>69</v>
      </c>
      <c r="M25" s="15" t="s">
        <v>69</v>
      </c>
      <c r="N25" s="15" t="s">
        <v>69</v>
      </c>
      <c r="O25" s="15" t="s">
        <v>69</v>
      </c>
      <c r="P25" s="15" t="s">
        <v>69</v>
      </c>
      <c r="Q25" s="15" t="s">
        <v>69</v>
      </c>
      <c r="R25" s="15" t="s">
        <v>68</v>
      </c>
      <c r="S25" s="15" t="s">
        <v>69</v>
      </c>
      <c r="T25" s="15" t="s">
        <v>69</v>
      </c>
      <c r="U25" s="15" t="s">
        <v>68</v>
      </c>
      <c r="V25" s="15" t="s">
        <v>92</v>
      </c>
      <c r="W25" s="15" t="s">
        <v>68</v>
      </c>
      <c r="X25" s="17">
        <v>4.4000000000000004</v>
      </c>
      <c r="Y25" s="17">
        <v>333</v>
      </c>
      <c r="Z25" s="15" t="s">
        <v>68</v>
      </c>
      <c r="AA25" s="15" t="s">
        <v>265</v>
      </c>
      <c r="AB25" s="16" t="s">
        <v>320</v>
      </c>
      <c r="AC25" s="15" t="s">
        <v>241</v>
      </c>
      <c r="AD25" s="15" t="s">
        <v>68</v>
      </c>
      <c r="AE25" s="15" t="s">
        <v>69</v>
      </c>
      <c r="AF25" s="15" t="s">
        <v>68</v>
      </c>
      <c r="AG25" s="15" t="s">
        <v>69</v>
      </c>
      <c r="AH25" s="15" t="s">
        <v>74</v>
      </c>
      <c r="AI25" s="16" t="s">
        <v>321</v>
      </c>
      <c r="AJ25" s="15" t="s">
        <v>74</v>
      </c>
      <c r="AK25" s="16" t="s">
        <v>322</v>
      </c>
      <c r="AL25" s="15" t="s">
        <v>74</v>
      </c>
      <c r="AM25" s="15" t="s">
        <v>74</v>
      </c>
      <c r="AN25" s="15" t="s">
        <v>74</v>
      </c>
      <c r="AO25" s="15" t="s">
        <v>74</v>
      </c>
      <c r="AP25" s="15" t="s">
        <v>74</v>
      </c>
      <c r="AQ25" s="15" t="s">
        <v>74</v>
      </c>
      <c r="AR25" s="15" t="s">
        <v>68</v>
      </c>
      <c r="AS25" s="15" t="s">
        <v>74</v>
      </c>
      <c r="AT25" s="15" t="s">
        <v>74</v>
      </c>
      <c r="AU25" s="15" t="s">
        <v>74</v>
      </c>
      <c r="AV25" s="15" t="s">
        <v>69</v>
      </c>
      <c r="AW25" s="15" t="s">
        <v>68</v>
      </c>
      <c r="AX25" s="15" t="s">
        <v>69</v>
      </c>
      <c r="AY25" s="15" t="s">
        <v>323</v>
      </c>
      <c r="AZ25" s="15" t="s">
        <v>74</v>
      </c>
      <c r="BA25" s="15" t="s">
        <v>74</v>
      </c>
      <c r="BB25" s="15" t="s">
        <v>74</v>
      </c>
      <c r="BC25" s="17">
        <v>35</v>
      </c>
      <c r="BD25" s="15" t="s">
        <v>119</v>
      </c>
      <c r="BE25" s="15" t="s">
        <v>74</v>
      </c>
      <c r="BF25" s="24" t="s">
        <v>324</v>
      </c>
      <c r="BG25" s="12"/>
      <c r="BH25" s="19"/>
    </row>
    <row r="26" spans="1:60" ht="14.25" customHeight="1" x14ac:dyDescent="0.3">
      <c r="A26" s="6" t="s">
        <v>325</v>
      </c>
      <c r="B26" s="7" t="s">
        <v>325</v>
      </c>
      <c r="C26" s="7" t="s">
        <v>315</v>
      </c>
      <c r="D26" s="7" t="s">
        <v>326</v>
      </c>
      <c r="E26" s="7" t="s">
        <v>327</v>
      </c>
      <c r="F26" s="9">
        <v>9304206996</v>
      </c>
      <c r="G26" s="8" t="s">
        <v>328</v>
      </c>
      <c r="H26" s="7" t="s">
        <v>329</v>
      </c>
      <c r="I26" s="7" t="s">
        <v>115</v>
      </c>
      <c r="J26" s="7" t="s">
        <v>66</v>
      </c>
      <c r="K26" s="7" t="s">
        <v>67</v>
      </c>
      <c r="L26" s="7" t="s">
        <v>69</v>
      </c>
      <c r="M26" s="7" t="s">
        <v>69</v>
      </c>
      <c r="N26" s="7" t="s">
        <v>69</v>
      </c>
      <c r="O26" s="7" t="s">
        <v>69</v>
      </c>
      <c r="P26" s="7" t="s">
        <v>69</v>
      </c>
      <c r="Q26" s="7" t="s">
        <v>69</v>
      </c>
      <c r="R26" s="7" t="s">
        <v>68</v>
      </c>
      <c r="S26" s="7" t="s">
        <v>69</v>
      </c>
      <c r="T26" s="7" t="s">
        <v>68</v>
      </c>
      <c r="U26" s="7" t="s">
        <v>68</v>
      </c>
      <c r="V26" s="7" t="s">
        <v>92</v>
      </c>
      <c r="W26" s="7" t="s">
        <v>68</v>
      </c>
      <c r="X26" s="9">
        <v>4.9000000000000004</v>
      </c>
      <c r="Y26" s="9">
        <v>103</v>
      </c>
      <c r="Z26" s="7" t="s">
        <v>68</v>
      </c>
      <c r="AA26" s="7" t="s">
        <v>207</v>
      </c>
      <c r="AB26" s="7" t="s">
        <v>74</v>
      </c>
      <c r="AC26" s="7" t="s">
        <v>74</v>
      </c>
      <c r="AD26" s="7" t="s">
        <v>74</v>
      </c>
      <c r="AE26" s="7" t="s">
        <v>69</v>
      </c>
      <c r="AF26" s="7" t="s">
        <v>69</v>
      </c>
      <c r="AG26" s="7" t="s">
        <v>69</v>
      </c>
      <c r="AH26" s="7" t="s">
        <v>74</v>
      </c>
      <c r="AI26" s="7" t="s">
        <v>74</v>
      </c>
      <c r="AJ26" s="8" t="s">
        <v>330</v>
      </c>
      <c r="AK26" s="7" t="s">
        <v>74</v>
      </c>
      <c r="AL26" s="7" t="s">
        <v>74</v>
      </c>
      <c r="AM26" s="7" t="s">
        <v>74</v>
      </c>
      <c r="AN26" s="7" t="s">
        <v>74</v>
      </c>
      <c r="AO26" s="7" t="s">
        <v>74</v>
      </c>
      <c r="AP26" s="7" t="s">
        <v>74</v>
      </c>
      <c r="AQ26" s="7" t="s">
        <v>74</v>
      </c>
      <c r="AR26" s="7" t="s">
        <v>68</v>
      </c>
      <c r="AS26" s="7" t="s">
        <v>74</v>
      </c>
      <c r="AT26" s="7" t="s">
        <v>74</v>
      </c>
      <c r="AU26" s="7" t="s">
        <v>74</v>
      </c>
      <c r="AV26" s="7" t="s">
        <v>69</v>
      </c>
      <c r="AW26" s="7" t="s">
        <v>107</v>
      </c>
      <c r="AX26" s="7" t="s">
        <v>107</v>
      </c>
      <c r="AY26" s="7" t="s">
        <v>331</v>
      </c>
      <c r="AZ26" s="7" t="s">
        <v>74</v>
      </c>
      <c r="BA26" s="7" t="s">
        <v>74</v>
      </c>
      <c r="BB26" s="7" t="s">
        <v>74</v>
      </c>
      <c r="BC26" s="9">
        <v>25</v>
      </c>
      <c r="BD26" s="7" t="s">
        <v>119</v>
      </c>
      <c r="BE26" s="7" t="s">
        <v>74</v>
      </c>
      <c r="BF26" s="11" t="s">
        <v>139</v>
      </c>
      <c r="BG26" s="12"/>
      <c r="BH26" s="19"/>
    </row>
    <row r="27" spans="1:60" ht="14.25" customHeight="1" x14ac:dyDescent="0.3">
      <c r="A27" s="14" t="s">
        <v>332</v>
      </c>
      <c r="B27" s="15" t="s">
        <v>332</v>
      </c>
      <c r="C27" s="15" t="s">
        <v>59</v>
      </c>
      <c r="D27" s="15" t="s">
        <v>333</v>
      </c>
      <c r="E27" s="15" t="s">
        <v>334</v>
      </c>
      <c r="F27" s="17">
        <v>8863822833</v>
      </c>
      <c r="G27" s="16" t="s">
        <v>335</v>
      </c>
      <c r="H27" s="15" t="s">
        <v>336</v>
      </c>
      <c r="I27" s="15" t="s">
        <v>115</v>
      </c>
      <c r="J27" s="15" t="s">
        <v>145</v>
      </c>
      <c r="K27" s="15" t="s">
        <v>199</v>
      </c>
      <c r="L27" s="15" t="s">
        <v>69</v>
      </c>
      <c r="M27" s="15" t="s">
        <v>69</v>
      </c>
      <c r="N27" s="15" t="s">
        <v>68</v>
      </c>
      <c r="O27" s="15" t="s">
        <v>68</v>
      </c>
      <c r="P27" s="15" t="s">
        <v>69</v>
      </c>
      <c r="Q27" s="15" t="s">
        <v>69</v>
      </c>
      <c r="R27" s="15" t="s">
        <v>69</v>
      </c>
      <c r="S27" s="15" t="s">
        <v>69</v>
      </c>
      <c r="T27" s="15" t="s">
        <v>69</v>
      </c>
      <c r="U27" s="15" t="s">
        <v>68</v>
      </c>
      <c r="V27" s="15" t="s">
        <v>115</v>
      </c>
      <c r="W27" s="15" t="s">
        <v>68</v>
      </c>
      <c r="X27" s="17">
        <v>2.8</v>
      </c>
      <c r="Y27" s="17">
        <v>6</v>
      </c>
      <c r="Z27" s="15" t="s">
        <v>68</v>
      </c>
      <c r="AA27" s="15" t="s">
        <v>137</v>
      </c>
      <c r="AB27" s="16" t="s">
        <v>337</v>
      </c>
      <c r="AC27" s="15" t="s">
        <v>338</v>
      </c>
      <c r="AD27" s="15" t="s">
        <v>68</v>
      </c>
      <c r="AE27" s="15" t="s">
        <v>68</v>
      </c>
      <c r="AF27" s="15" t="s">
        <v>68</v>
      </c>
      <c r="AG27" s="15" t="s">
        <v>69</v>
      </c>
      <c r="AH27" s="15" t="s">
        <v>74</v>
      </c>
      <c r="AI27" s="15" t="s">
        <v>74</v>
      </c>
      <c r="AJ27" s="15" t="s">
        <v>74</v>
      </c>
      <c r="AK27" s="15" t="s">
        <v>74</v>
      </c>
      <c r="AL27" s="15" t="s">
        <v>74</v>
      </c>
      <c r="AM27" s="15" t="s">
        <v>74</v>
      </c>
      <c r="AN27" s="15" t="s">
        <v>74</v>
      </c>
      <c r="AO27" s="15" t="s">
        <v>74</v>
      </c>
      <c r="AP27" s="15" t="s">
        <v>74</v>
      </c>
      <c r="AQ27" s="15" t="s">
        <v>74</v>
      </c>
      <c r="AR27" s="15" t="s">
        <v>68</v>
      </c>
      <c r="AS27" s="15" t="s">
        <v>74</v>
      </c>
      <c r="AT27" s="15" t="s">
        <v>74</v>
      </c>
      <c r="AU27" s="15" t="s">
        <v>74</v>
      </c>
      <c r="AV27" s="15" t="s">
        <v>69</v>
      </c>
      <c r="AW27" s="15" t="s">
        <v>68</v>
      </c>
      <c r="AX27" s="15" t="s">
        <v>69</v>
      </c>
      <c r="AY27" s="15" t="s">
        <v>339</v>
      </c>
      <c r="AZ27" s="15" t="s">
        <v>74</v>
      </c>
      <c r="BA27" s="15" t="s">
        <v>74</v>
      </c>
      <c r="BB27" s="15" t="s">
        <v>74</v>
      </c>
      <c r="BC27" s="17">
        <v>25</v>
      </c>
      <c r="BD27" s="15" t="s">
        <v>119</v>
      </c>
      <c r="BE27" s="15" t="s">
        <v>74</v>
      </c>
      <c r="BF27" s="18" t="s">
        <v>340</v>
      </c>
      <c r="BG27" s="12"/>
      <c r="BH27" s="19"/>
    </row>
    <row r="28" spans="1:60" ht="14.25" customHeight="1" x14ac:dyDescent="0.3">
      <c r="A28" s="6" t="s">
        <v>341</v>
      </c>
      <c r="B28" s="7" t="s">
        <v>341</v>
      </c>
      <c r="C28" s="7" t="s">
        <v>111</v>
      </c>
      <c r="D28" s="7" t="s">
        <v>342</v>
      </c>
      <c r="E28" s="7" t="s">
        <v>281</v>
      </c>
      <c r="F28" s="9">
        <v>9263630448</v>
      </c>
      <c r="G28" s="8" t="s">
        <v>343</v>
      </c>
      <c r="H28" s="7" t="s">
        <v>344</v>
      </c>
      <c r="I28" s="7" t="s">
        <v>115</v>
      </c>
      <c r="J28" s="7" t="s">
        <v>66</v>
      </c>
      <c r="K28" s="7" t="s">
        <v>67</v>
      </c>
      <c r="L28" s="7" t="s">
        <v>69</v>
      </c>
      <c r="M28" s="7" t="s">
        <v>69</v>
      </c>
      <c r="N28" s="7" t="s">
        <v>69</v>
      </c>
      <c r="O28" s="7" t="s">
        <v>68</v>
      </c>
      <c r="P28" s="7" t="s">
        <v>68</v>
      </c>
      <c r="Q28" s="7" t="s">
        <v>69</v>
      </c>
      <c r="R28" s="7" t="s">
        <v>69</v>
      </c>
      <c r="S28" s="7" t="s">
        <v>69</v>
      </c>
      <c r="T28" s="7" t="s">
        <v>69</v>
      </c>
      <c r="U28" s="7" t="s">
        <v>68</v>
      </c>
      <c r="V28" s="7" t="s">
        <v>92</v>
      </c>
      <c r="W28" s="7" t="s">
        <v>68</v>
      </c>
      <c r="X28" s="9">
        <v>4.0999999999999996</v>
      </c>
      <c r="Y28" s="9">
        <v>59</v>
      </c>
      <c r="Z28" s="7" t="s">
        <v>68</v>
      </c>
      <c r="AA28" s="7" t="s">
        <v>129</v>
      </c>
      <c r="AB28" s="7" t="s">
        <v>74</v>
      </c>
      <c r="AC28" s="7" t="s">
        <v>74</v>
      </c>
      <c r="AD28" s="7" t="s">
        <v>74</v>
      </c>
      <c r="AE28" s="7" t="s">
        <v>68</v>
      </c>
      <c r="AF28" s="7" t="s">
        <v>68</v>
      </c>
      <c r="AG28" s="7" t="s">
        <v>69</v>
      </c>
      <c r="AH28" s="7" t="s">
        <v>74</v>
      </c>
      <c r="AI28" s="7" t="s">
        <v>74</v>
      </c>
      <c r="AJ28" s="7" t="s">
        <v>74</v>
      </c>
      <c r="AK28" s="7" t="s">
        <v>74</v>
      </c>
      <c r="AL28" s="7" t="s">
        <v>74</v>
      </c>
      <c r="AM28" s="7" t="s">
        <v>74</v>
      </c>
      <c r="AN28" s="7" t="s">
        <v>74</v>
      </c>
      <c r="AO28" s="7" t="s">
        <v>74</v>
      </c>
      <c r="AP28" s="7" t="s">
        <v>74</v>
      </c>
      <c r="AQ28" s="7" t="s">
        <v>74</v>
      </c>
      <c r="AR28" s="7" t="s">
        <v>68</v>
      </c>
      <c r="AS28" s="7" t="s">
        <v>68</v>
      </c>
      <c r="AT28" s="7" t="s">
        <v>74</v>
      </c>
      <c r="AU28" s="7" t="s">
        <v>74</v>
      </c>
      <c r="AV28" s="7" t="s">
        <v>69</v>
      </c>
      <c r="AW28" s="7" t="s">
        <v>107</v>
      </c>
      <c r="AX28" s="7" t="s">
        <v>107</v>
      </c>
      <c r="AY28" s="7" t="s">
        <v>345</v>
      </c>
      <c r="AZ28" s="7" t="s">
        <v>74</v>
      </c>
      <c r="BA28" s="7" t="s">
        <v>74</v>
      </c>
      <c r="BB28" s="7" t="s">
        <v>74</v>
      </c>
      <c r="BC28" s="9">
        <v>35</v>
      </c>
      <c r="BD28" s="7" t="s">
        <v>119</v>
      </c>
      <c r="BE28" s="7" t="s">
        <v>74</v>
      </c>
      <c r="BF28" s="11" t="s">
        <v>139</v>
      </c>
      <c r="BG28" s="12"/>
      <c r="BH28" s="19"/>
    </row>
    <row r="29" spans="1:60" ht="14.25" customHeight="1" x14ac:dyDescent="0.3">
      <c r="A29" s="14" t="s">
        <v>346</v>
      </c>
      <c r="B29" s="15" t="s">
        <v>346</v>
      </c>
      <c r="C29" s="15" t="s">
        <v>347</v>
      </c>
      <c r="D29" s="15" t="s">
        <v>348</v>
      </c>
      <c r="E29" s="15" t="s">
        <v>349</v>
      </c>
      <c r="F29" s="17">
        <v>9162681233</v>
      </c>
      <c r="G29" s="16" t="s">
        <v>350</v>
      </c>
      <c r="H29" s="15" t="s">
        <v>351</v>
      </c>
      <c r="I29" s="15" t="s">
        <v>65</v>
      </c>
      <c r="J29" s="15" t="s">
        <v>91</v>
      </c>
      <c r="K29" s="15" t="s">
        <v>67</v>
      </c>
      <c r="L29" s="15" t="s">
        <v>69</v>
      </c>
      <c r="M29" s="15" t="s">
        <v>69</v>
      </c>
      <c r="N29" s="15" t="s">
        <v>69</v>
      </c>
      <c r="O29" s="15" t="s">
        <v>68</v>
      </c>
      <c r="P29" s="15" t="s">
        <v>68</v>
      </c>
      <c r="Q29" s="15" t="s">
        <v>68</v>
      </c>
      <c r="R29" s="15" t="s">
        <v>68</v>
      </c>
      <c r="S29" s="15" t="s">
        <v>68</v>
      </c>
      <c r="T29" s="15" t="s">
        <v>69</v>
      </c>
      <c r="U29" s="15" t="s">
        <v>68</v>
      </c>
      <c r="V29" s="15" t="s">
        <v>115</v>
      </c>
      <c r="W29" s="15" t="s">
        <v>68</v>
      </c>
      <c r="X29" s="17">
        <v>5</v>
      </c>
      <c r="Y29" s="17">
        <v>15</v>
      </c>
      <c r="Z29" s="15" t="s">
        <v>69</v>
      </c>
      <c r="AA29" s="15" t="s">
        <v>71</v>
      </c>
      <c r="AB29" s="16" t="s">
        <v>352</v>
      </c>
      <c r="AC29" s="15" t="s">
        <v>338</v>
      </c>
      <c r="AD29" s="15" t="s">
        <v>68</v>
      </c>
      <c r="AE29" s="15" t="s">
        <v>69</v>
      </c>
      <c r="AF29" s="15" t="s">
        <v>68</v>
      </c>
      <c r="AG29" s="15" t="s">
        <v>69</v>
      </c>
      <c r="AH29" s="15" t="s">
        <v>74</v>
      </c>
      <c r="AI29" s="15" t="s">
        <v>74</v>
      </c>
      <c r="AJ29" s="15" t="s">
        <v>74</v>
      </c>
      <c r="AK29" s="15" t="s">
        <v>74</v>
      </c>
      <c r="AL29" s="15" t="s">
        <v>74</v>
      </c>
      <c r="AM29" s="15" t="s">
        <v>74</v>
      </c>
      <c r="AN29" s="15" t="s">
        <v>74</v>
      </c>
      <c r="AO29" s="15" t="s">
        <v>74</v>
      </c>
      <c r="AP29" s="15" t="s">
        <v>74</v>
      </c>
      <c r="AQ29" s="15" t="s">
        <v>74</v>
      </c>
      <c r="AR29" s="15" t="s">
        <v>68</v>
      </c>
      <c r="AS29" s="15" t="s">
        <v>74</v>
      </c>
      <c r="AT29" s="15" t="s">
        <v>74</v>
      </c>
      <c r="AU29" s="15" t="s">
        <v>74</v>
      </c>
      <c r="AV29" s="15" t="s">
        <v>69</v>
      </c>
      <c r="AW29" s="15" t="s">
        <v>68</v>
      </c>
      <c r="AX29" s="15" t="s">
        <v>69</v>
      </c>
      <c r="AY29" s="15" t="s">
        <v>353</v>
      </c>
      <c r="AZ29" s="15" t="s">
        <v>74</v>
      </c>
      <c r="BA29" s="15" t="s">
        <v>74</v>
      </c>
      <c r="BB29" s="15" t="s">
        <v>74</v>
      </c>
      <c r="BC29" s="17">
        <v>55</v>
      </c>
      <c r="BD29" s="15" t="s">
        <v>97</v>
      </c>
      <c r="BE29" s="15" t="s">
        <v>354</v>
      </c>
      <c r="BF29" s="18" t="s">
        <v>139</v>
      </c>
      <c r="BG29" s="12"/>
      <c r="BH29" s="19"/>
    </row>
    <row r="30" spans="1:60" ht="14.25" customHeight="1" x14ac:dyDescent="0.3">
      <c r="A30" s="6" t="s">
        <v>355</v>
      </c>
      <c r="B30" s="7" t="s">
        <v>355</v>
      </c>
      <c r="C30" s="7" t="s">
        <v>100</v>
      </c>
      <c r="D30" s="7" t="s">
        <v>356</v>
      </c>
      <c r="E30" s="7" t="s">
        <v>357</v>
      </c>
      <c r="F30" s="9">
        <v>9006815715</v>
      </c>
      <c r="G30" s="8" t="s">
        <v>358</v>
      </c>
      <c r="H30" s="7" t="s">
        <v>359</v>
      </c>
      <c r="I30" s="7" t="s">
        <v>65</v>
      </c>
      <c r="J30" s="7" t="s">
        <v>145</v>
      </c>
      <c r="K30" s="7" t="s">
        <v>67</v>
      </c>
      <c r="L30" s="7" t="s">
        <v>68</v>
      </c>
      <c r="M30" s="7" t="s">
        <v>68</v>
      </c>
      <c r="N30" s="7" t="s">
        <v>68</v>
      </c>
      <c r="O30" s="7" t="s">
        <v>68</v>
      </c>
      <c r="P30" s="7" t="s">
        <v>68</v>
      </c>
      <c r="Q30" s="7" t="s">
        <v>69</v>
      </c>
      <c r="R30" s="7" t="s">
        <v>69</v>
      </c>
      <c r="S30" s="7" t="s">
        <v>69</v>
      </c>
      <c r="T30" s="7" t="s">
        <v>69</v>
      </c>
      <c r="U30" s="7" t="s">
        <v>68</v>
      </c>
      <c r="V30" s="7" t="s">
        <v>115</v>
      </c>
      <c r="W30" s="7" t="s">
        <v>68</v>
      </c>
      <c r="X30" s="9">
        <v>4.4000000000000004</v>
      </c>
      <c r="Y30" s="9">
        <v>13</v>
      </c>
      <c r="Z30" s="7" t="s">
        <v>68</v>
      </c>
      <c r="AA30" s="7" t="s">
        <v>207</v>
      </c>
      <c r="AB30" s="7" t="s">
        <v>74</v>
      </c>
      <c r="AC30" s="7" t="s">
        <v>74</v>
      </c>
      <c r="AD30" s="7" t="s">
        <v>74</v>
      </c>
      <c r="AE30" s="7" t="s">
        <v>69</v>
      </c>
      <c r="AF30" s="7" t="s">
        <v>69</v>
      </c>
      <c r="AG30" s="7" t="s">
        <v>69</v>
      </c>
      <c r="AH30" s="7" t="s">
        <v>74</v>
      </c>
      <c r="AI30" s="7" t="s">
        <v>74</v>
      </c>
      <c r="AJ30" s="7" t="s">
        <v>74</v>
      </c>
      <c r="AK30" s="7" t="s">
        <v>74</v>
      </c>
      <c r="AL30" s="7" t="s">
        <v>74</v>
      </c>
      <c r="AM30" s="7" t="s">
        <v>74</v>
      </c>
      <c r="AN30" s="7" t="s">
        <v>74</v>
      </c>
      <c r="AO30" s="7" t="s">
        <v>74</v>
      </c>
      <c r="AP30" s="7" t="s">
        <v>74</v>
      </c>
      <c r="AQ30" s="7" t="s">
        <v>74</v>
      </c>
      <c r="AR30" s="7" t="s">
        <v>68</v>
      </c>
      <c r="AS30" s="7" t="s">
        <v>74</v>
      </c>
      <c r="AT30" s="7" t="s">
        <v>74</v>
      </c>
      <c r="AU30" s="7" t="s">
        <v>74</v>
      </c>
      <c r="AV30" s="7" t="s">
        <v>69</v>
      </c>
      <c r="AW30" s="7" t="s">
        <v>107</v>
      </c>
      <c r="AX30" s="7" t="s">
        <v>107</v>
      </c>
      <c r="AY30" s="7" t="s">
        <v>360</v>
      </c>
      <c r="AZ30" s="7" t="s">
        <v>74</v>
      </c>
      <c r="BA30" s="7" t="s">
        <v>74</v>
      </c>
      <c r="BB30" s="7" t="s">
        <v>74</v>
      </c>
      <c r="BC30" s="9">
        <v>25</v>
      </c>
      <c r="BD30" s="7" t="s">
        <v>119</v>
      </c>
      <c r="BE30" s="7" t="s">
        <v>74</v>
      </c>
      <c r="BF30" s="11" t="s">
        <v>361</v>
      </c>
      <c r="BG30" s="12"/>
      <c r="BH30" s="19"/>
    </row>
    <row r="31" spans="1:60" ht="14.25" customHeight="1" x14ac:dyDescent="0.3">
      <c r="A31" s="14" t="s">
        <v>362</v>
      </c>
      <c r="B31" s="15" t="s">
        <v>362</v>
      </c>
      <c r="C31" s="15" t="s">
        <v>363</v>
      </c>
      <c r="D31" s="15" t="s">
        <v>364</v>
      </c>
      <c r="E31" s="15" t="s">
        <v>365</v>
      </c>
      <c r="F31" s="17">
        <v>7070190905</v>
      </c>
      <c r="G31" s="16" t="s">
        <v>366</v>
      </c>
      <c r="H31" s="15" t="s">
        <v>367</v>
      </c>
      <c r="I31" s="15" t="s">
        <v>65</v>
      </c>
      <c r="J31" s="15" t="s">
        <v>368</v>
      </c>
      <c r="K31" s="15" t="s">
        <v>67</v>
      </c>
      <c r="L31" s="15" t="s">
        <v>68</v>
      </c>
      <c r="M31" s="15" t="s">
        <v>69</v>
      </c>
      <c r="N31" s="15" t="s">
        <v>69</v>
      </c>
      <c r="O31" s="15" t="s">
        <v>69</v>
      </c>
      <c r="P31" s="15" t="s">
        <v>69</v>
      </c>
      <c r="Q31" s="15" t="s">
        <v>68</v>
      </c>
      <c r="R31" s="15" t="s">
        <v>68</v>
      </c>
      <c r="S31" s="15" t="s">
        <v>68</v>
      </c>
      <c r="T31" s="15" t="s">
        <v>68</v>
      </c>
      <c r="U31" s="15" t="s">
        <v>68</v>
      </c>
      <c r="V31" s="15" t="s">
        <v>115</v>
      </c>
      <c r="W31" s="15" t="s">
        <v>68</v>
      </c>
      <c r="X31" s="17">
        <v>4</v>
      </c>
      <c r="Y31" s="17">
        <v>131</v>
      </c>
      <c r="Z31" s="15" t="s">
        <v>68</v>
      </c>
      <c r="AA31" s="15" t="s">
        <v>116</v>
      </c>
      <c r="AB31" s="16" t="s">
        <v>369</v>
      </c>
      <c r="AC31" s="15" t="s">
        <v>338</v>
      </c>
      <c r="AD31" s="15" t="s">
        <v>68</v>
      </c>
      <c r="AE31" s="15" t="s">
        <v>69</v>
      </c>
      <c r="AF31" s="15" t="s">
        <v>69</v>
      </c>
      <c r="AG31" s="15" t="s">
        <v>68</v>
      </c>
      <c r="AH31" s="15" t="s">
        <v>74</v>
      </c>
      <c r="AI31" s="15" t="s">
        <v>74</v>
      </c>
      <c r="AJ31" s="15" t="s">
        <v>74</v>
      </c>
      <c r="AK31" s="16" t="s">
        <v>370</v>
      </c>
      <c r="AL31" s="15" t="s">
        <v>74</v>
      </c>
      <c r="AM31" s="15" t="s">
        <v>74</v>
      </c>
      <c r="AN31" s="15" t="s">
        <v>74</v>
      </c>
      <c r="AO31" s="15" t="s">
        <v>74</v>
      </c>
      <c r="AP31" s="15" t="s">
        <v>74</v>
      </c>
      <c r="AQ31" s="15" t="s">
        <v>74</v>
      </c>
      <c r="AR31" s="15" t="s">
        <v>68</v>
      </c>
      <c r="AS31" s="15" t="s">
        <v>74</v>
      </c>
      <c r="AT31" s="15" t="s">
        <v>74</v>
      </c>
      <c r="AU31" s="15" t="s">
        <v>74</v>
      </c>
      <c r="AV31" s="15" t="s">
        <v>69</v>
      </c>
      <c r="AW31" s="15" t="s">
        <v>68</v>
      </c>
      <c r="AX31" s="15" t="s">
        <v>69</v>
      </c>
      <c r="AY31" s="15" t="s">
        <v>371</v>
      </c>
      <c r="AZ31" s="15" t="s">
        <v>74</v>
      </c>
      <c r="BA31" s="15" t="s">
        <v>74</v>
      </c>
      <c r="BB31" s="15" t="s">
        <v>74</v>
      </c>
      <c r="BC31" s="17">
        <v>50</v>
      </c>
      <c r="BD31" s="15" t="s">
        <v>97</v>
      </c>
      <c r="BE31" s="15" t="s">
        <v>372</v>
      </c>
      <c r="BF31" s="18" t="s">
        <v>373</v>
      </c>
      <c r="BG31" s="12"/>
      <c r="BH31" s="19"/>
    </row>
    <row r="32" spans="1:60" ht="14.25" customHeight="1" x14ac:dyDescent="0.3">
      <c r="A32" s="6" t="s">
        <v>374</v>
      </c>
      <c r="B32" s="7" t="s">
        <v>374</v>
      </c>
      <c r="C32" s="7" t="s">
        <v>59</v>
      </c>
      <c r="D32" s="7" t="s">
        <v>375</v>
      </c>
      <c r="E32" s="7" t="s">
        <v>376</v>
      </c>
      <c r="F32" s="7" t="s">
        <v>74</v>
      </c>
      <c r="G32" s="8" t="s">
        <v>377</v>
      </c>
      <c r="H32" s="7" t="s">
        <v>378</v>
      </c>
      <c r="I32" s="7" t="s">
        <v>115</v>
      </c>
      <c r="J32" s="7" t="s">
        <v>66</v>
      </c>
      <c r="K32" s="7" t="s">
        <v>67</v>
      </c>
      <c r="L32" s="7" t="s">
        <v>68</v>
      </c>
      <c r="M32" s="7" t="s">
        <v>68</v>
      </c>
      <c r="N32" s="7" t="s">
        <v>68</v>
      </c>
      <c r="O32" s="7" t="s">
        <v>69</v>
      </c>
      <c r="P32" s="7" t="s">
        <v>69</v>
      </c>
      <c r="Q32" s="7" t="s">
        <v>69</v>
      </c>
      <c r="R32" s="7" t="s">
        <v>69</v>
      </c>
      <c r="S32" s="7" t="s">
        <v>69</v>
      </c>
      <c r="T32" s="7" t="s">
        <v>68</v>
      </c>
      <c r="U32" s="7" t="s">
        <v>69</v>
      </c>
      <c r="V32" s="7" t="s">
        <v>115</v>
      </c>
      <c r="W32" s="7" t="s">
        <v>68</v>
      </c>
      <c r="X32" s="9">
        <v>5</v>
      </c>
      <c r="Y32" s="9">
        <v>16</v>
      </c>
      <c r="Z32" s="7" t="s">
        <v>68</v>
      </c>
      <c r="AA32" s="7" t="s">
        <v>93</v>
      </c>
      <c r="AB32" s="8" t="s">
        <v>379</v>
      </c>
      <c r="AC32" s="7" t="s">
        <v>380</v>
      </c>
      <c r="AD32" s="7" t="s">
        <v>68</v>
      </c>
      <c r="AE32" s="7" t="s">
        <v>68</v>
      </c>
      <c r="AF32" s="7" t="s">
        <v>68</v>
      </c>
      <c r="AG32" s="7" t="s">
        <v>69</v>
      </c>
      <c r="AH32" s="7" t="s">
        <v>74</v>
      </c>
      <c r="AI32" s="7" t="s">
        <v>74</v>
      </c>
      <c r="AJ32" s="7" t="s">
        <v>74</v>
      </c>
      <c r="AK32" s="7" t="s">
        <v>74</v>
      </c>
      <c r="AL32" s="7" t="s">
        <v>74</v>
      </c>
      <c r="AM32" s="7" t="s">
        <v>74</v>
      </c>
      <c r="AN32" s="7" t="s">
        <v>74</v>
      </c>
      <c r="AO32" s="7" t="s">
        <v>74</v>
      </c>
      <c r="AP32" s="7" t="s">
        <v>74</v>
      </c>
      <c r="AQ32" s="7" t="s">
        <v>74</v>
      </c>
      <c r="AR32" s="7" t="s">
        <v>69</v>
      </c>
      <c r="AS32" s="7" t="s">
        <v>74</v>
      </c>
      <c r="AT32" s="7" t="s">
        <v>74</v>
      </c>
      <c r="AU32" s="7" t="s">
        <v>74</v>
      </c>
      <c r="AV32" s="7" t="s">
        <v>68</v>
      </c>
      <c r="AW32" s="7" t="s">
        <v>68</v>
      </c>
      <c r="AX32" s="7" t="s">
        <v>68</v>
      </c>
      <c r="AY32" s="7" t="s">
        <v>381</v>
      </c>
      <c r="AZ32" s="7" t="s">
        <v>74</v>
      </c>
      <c r="BA32" s="7" t="s">
        <v>74</v>
      </c>
      <c r="BB32" s="7" t="s">
        <v>74</v>
      </c>
      <c r="BC32" s="9">
        <v>35</v>
      </c>
      <c r="BD32" s="7" t="s">
        <v>119</v>
      </c>
      <c r="BE32" s="7" t="s">
        <v>74</v>
      </c>
      <c r="BF32" s="11" t="s">
        <v>382</v>
      </c>
      <c r="BG32" s="12"/>
      <c r="BH32" s="19"/>
    </row>
    <row r="33" spans="1:60" ht="14.25" customHeight="1" x14ac:dyDescent="0.3">
      <c r="A33" s="14" t="s">
        <v>383</v>
      </c>
      <c r="B33" s="15" t="s">
        <v>383</v>
      </c>
      <c r="C33" s="15" t="s">
        <v>384</v>
      </c>
      <c r="D33" s="15" t="s">
        <v>385</v>
      </c>
      <c r="E33" s="15" t="s">
        <v>61</v>
      </c>
      <c r="F33" s="17">
        <v>6512330766</v>
      </c>
      <c r="G33" s="16" t="s">
        <v>386</v>
      </c>
      <c r="H33" s="15" t="s">
        <v>387</v>
      </c>
      <c r="I33" s="15" t="s">
        <v>90</v>
      </c>
      <c r="J33" s="15" t="s">
        <v>66</v>
      </c>
      <c r="K33" s="15" t="s">
        <v>67</v>
      </c>
      <c r="L33" s="15" t="s">
        <v>69</v>
      </c>
      <c r="M33" s="15" t="s">
        <v>69</v>
      </c>
      <c r="N33" s="15" t="s">
        <v>69</v>
      </c>
      <c r="O33" s="15" t="s">
        <v>69</v>
      </c>
      <c r="P33" s="15" t="s">
        <v>68</v>
      </c>
      <c r="Q33" s="15" t="s">
        <v>69</v>
      </c>
      <c r="R33" s="15" t="s">
        <v>69</v>
      </c>
      <c r="S33" s="15" t="s">
        <v>69</v>
      </c>
      <c r="T33" s="15" t="s">
        <v>68</v>
      </c>
      <c r="U33" s="15" t="s">
        <v>69</v>
      </c>
      <c r="V33" s="15" t="s">
        <v>92</v>
      </c>
      <c r="W33" s="15" t="s">
        <v>68</v>
      </c>
      <c r="X33" s="17">
        <v>3.9</v>
      </c>
      <c r="Y33" s="17">
        <v>22</v>
      </c>
      <c r="Z33" s="15" t="s">
        <v>68</v>
      </c>
      <c r="AA33" s="15" t="s">
        <v>137</v>
      </c>
      <c r="AB33" s="16" t="s">
        <v>388</v>
      </c>
      <c r="AC33" s="15" t="s">
        <v>380</v>
      </c>
      <c r="AD33" s="15" t="s">
        <v>68</v>
      </c>
      <c r="AE33" s="15" t="s">
        <v>68</v>
      </c>
      <c r="AF33" s="15" t="s">
        <v>68</v>
      </c>
      <c r="AG33" s="15" t="s">
        <v>69</v>
      </c>
      <c r="AH33" s="15" t="s">
        <v>74</v>
      </c>
      <c r="AI33" s="15" t="s">
        <v>74</v>
      </c>
      <c r="AJ33" s="15" t="s">
        <v>74</v>
      </c>
      <c r="AK33" s="16" t="s">
        <v>389</v>
      </c>
      <c r="AL33" s="15" t="s">
        <v>74</v>
      </c>
      <c r="AM33" s="15" t="s">
        <v>74</v>
      </c>
      <c r="AN33" s="15" t="s">
        <v>74</v>
      </c>
      <c r="AO33" s="15" t="s">
        <v>74</v>
      </c>
      <c r="AP33" s="15" t="s">
        <v>74</v>
      </c>
      <c r="AQ33" s="15" t="s">
        <v>74</v>
      </c>
      <c r="AR33" s="15" t="s">
        <v>69</v>
      </c>
      <c r="AS33" s="15" t="s">
        <v>74</v>
      </c>
      <c r="AT33" s="15" t="s">
        <v>74</v>
      </c>
      <c r="AU33" s="15" t="s">
        <v>74</v>
      </c>
      <c r="AV33" s="15" t="s">
        <v>69</v>
      </c>
      <c r="AW33" s="15" t="s">
        <v>68</v>
      </c>
      <c r="AX33" s="15" t="s">
        <v>69</v>
      </c>
      <c r="AY33" s="15" t="s">
        <v>390</v>
      </c>
      <c r="AZ33" s="15" t="s">
        <v>74</v>
      </c>
      <c r="BA33" s="15" t="s">
        <v>74</v>
      </c>
      <c r="BB33" s="15" t="s">
        <v>74</v>
      </c>
      <c r="BC33" s="17">
        <v>20</v>
      </c>
      <c r="BD33" s="15" t="s">
        <v>119</v>
      </c>
      <c r="BE33" s="15" t="s">
        <v>74</v>
      </c>
      <c r="BF33" s="18" t="s">
        <v>139</v>
      </c>
      <c r="BG33" s="12"/>
      <c r="BH33" s="26"/>
    </row>
    <row r="34" spans="1:60" ht="14.25" customHeight="1" x14ac:dyDescent="0.3">
      <c r="A34" s="6" t="s">
        <v>391</v>
      </c>
      <c r="B34" s="7" t="s">
        <v>391</v>
      </c>
      <c r="C34" s="7" t="s">
        <v>315</v>
      </c>
      <c r="D34" s="7" t="s">
        <v>392</v>
      </c>
      <c r="E34" s="7" t="s">
        <v>393</v>
      </c>
      <c r="F34" s="9">
        <v>6513571372</v>
      </c>
      <c r="G34" s="8" t="s">
        <v>394</v>
      </c>
      <c r="H34" s="7" t="s">
        <v>395</v>
      </c>
      <c r="I34" s="7" t="s">
        <v>115</v>
      </c>
      <c r="J34" s="7" t="s">
        <v>66</v>
      </c>
      <c r="K34" s="7" t="s">
        <v>67</v>
      </c>
      <c r="L34" s="7" t="s">
        <v>69</v>
      </c>
      <c r="M34" s="7" t="s">
        <v>69</v>
      </c>
      <c r="N34" s="7" t="s">
        <v>69</v>
      </c>
      <c r="O34" s="7" t="s">
        <v>69</v>
      </c>
      <c r="P34" s="7" t="s">
        <v>69</v>
      </c>
      <c r="Q34" s="7" t="s">
        <v>69</v>
      </c>
      <c r="R34" s="7" t="s">
        <v>68</v>
      </c>
      <c r="S34" s="7" t="s">
        <v>68</v>
      </c>
      <c r="T34" s="7" t="s">
        <v>68</v>
      </c>
      <c r="U34" s="7" t="s">
        <v>68</v>
      </c>
      <c r="V34" s="7" t="s">
        <v>115</v>
      </c>
      <c r="W34" s="7" t="s">
        <v>68</v>
      </c>
      <c r="X34" s="9">
        <v>4.0999999999999996</v>
      </c>
      <c r="Y34" s="9">
        <v>171</v>
      </c>
      <c r="Z34" s="7" t="s">
        <v>68</v>
      </c>
      <c r="AA34" s="7" t="s">
        <v>116</v>
      </c>
      <c r="AB34" s="8" t="s">
        <v>396</v>
      </c>
      <c r="AC34" s="7" t="s">
        <v>397</v>
      </c>
      <c r="AD34" s="7" t="s">
        <v>68</v>
      </c>
      <c r="AE34" s="7" t="s">
        <v>68</v>
      </c>
      <c r="AF34" s="7" t="s">
        <v>68</v>
      </c>
      <c r="AG34" s="7" t="s">
        <v>68</v>
      </c>
      <c r="AH34" s="7" t="s">
        <v>74</v>
      </c>
      <c r="AI34" s="7" t="s">
        <v>74</v>
      </c>
      <c r="AJ34" s="7" t="s">
        <v>74</v>
      </c>
      <c r="AK34" s="8" t="s">
        <v>398</v>
      </c>
      <c r="AL34" s="7" t="s">
        <v>74</v>
      </c>
      <c r="AM34" s="7" t="s">
        <v>74</v>
      </c>
      <c r="AN34" s="7" t="s">
        <v>74</v>
      </c>
      <c r="AO34" s="7" t="s">
        <v>74</v>
      </c>
      <c r="AP34" s="7" t="s">
        <v>74</v>
      </c>
      <c r="AQ34" s="7" t="s">
        <v>74</v>
      </c>
      <c r="AR34" s="7" t="s">
        <v>69</v>
      </c>
      <c r="AS34" s="7" t="s">
        <v>74</v>
      </c>
      <c r="AT34" s="7" t="s">
        <v>74</v>
      </c>
      <c r="AU34" s="7" t="s">
        <v>74</v>
      </c>
      <c r="AV34" s="7" t="s">
        <v>69</v>
      </c>
      <c r="AW34" s="7" t="s">
        <v>68</v>
      </c>
      <c r="AX34" s="7" t="s">
        <v>68</v>
      </c>
      <c r="AY34" s="7" t="s">
        <v>399</v>
      </c>
      <c r="AZ34" s="7" t="s">
        <v>74</v>
      </c>
      <c r="BA34" s="7" t="s">
        <v>74</v>
      </c>
      <c r="BB34" s="7" t="s">
        <v>74</v>
      </c>
      <c r="BC34" s="9">
        <v>20</v>
      </c>
      <c r="BD34" s="7" t="s">
        <v>119</v>
      </c>
      <c r="BE34" s="7" t="s">
        <v>74</v>
      </c>
      <c r="BF34" s="11" t="s">
        <v>400</v>
      </c>
      <c r="BG34" s="12"/>
      <c r="BH34" s="19"/>
    </row>
    <row r="35" spans="1:60" ht="14.25" customHeight="1" x14ac:dyDescent="0.3">
      <c r="A35" s="14" t="s">
        <v>401</v>
      </c>
      <c r="B35" s="15" t="s">
        <v>401</v>
      </c>
      <c r="C35" s="15" t="s">
        <v>315</v>
      </c>
      <c r="D35" s="15" t="s">
        <v>402</v>
      </c>
      <c r="E35" s="15" t="s">
        <v>365</v>
      </c>
      <c r="F35" s="17">
        <v>9263611410</v>
      </c>
      <c r="G35" s="16" t="s">
        <v>403</v>
      </c>
      <c r="H35" s="15" t="s">
        <v>395</v>
      </c>
      <c r="I35" s="15" t="s">
        <v>115</v>
      </c>
      <c r="J35" s="15" t="s">
        <v>66</v>
      </c>
      <c r="K35" s="15" t="s">
        <v>67</v>
      </c>
      <c r="L35" s="15" t="s">
        <v>69</v>
      </c>
      <c r="M35" s="15" t="s">
        <v>69</v>
      </c>
      <c r="N35" s="15" t="s">
        <v>69</v>
      </c>
      <c r="O35" s="15" t="s">
        <v>69</v>
      </c>
      <c r="P35" s="15" t="s">
        <v>69</v>
      </c>
      <c r="Q35" s="15" t="s">
        <v>69</v>
      </c>
      <c r="R35" s="15" t="s">
        <v>68</v>
      </c>
      <c r="S35" s="15" t="s">
        <v>68</v>
      </c>
      <c r="T35" s="15" t="s">
        <v>68</v>
      </c>
      <c r="U35" s="15" t="s">
        <v>68</v>
      </c>
      <c r="V35" s="15" t="s">
        <v>115</v>
      </c>
      <c r="W35" s="15" t="s">
        <v>68</v>
      </c>
      <c r="X35" s="17">
        <v>4.8</v>
      </c>
      <c r="Y35" s="17">
        <v>24</v>
      </c>
      <c r="Z35" s="15" t="s">
        <v>68</v>
      </c>
      <c r="AA35" s="15" t="s">
        <v>240</v>
      </c>
      <c r="AB35" s="15" t="s">
        <v>74</v>
      </c>
      <c r="AC35" s="15" t="s">
        <v>74</v>
      </c>
      <c r="AD35" s="15" t="s">
        <v>74</v>
      </c>
      <c r="AE35" s="15" t="s">
        <v>69</v>
      </c>
      <c r="AF35" s="15" t="s">
        <v>68</v>
      </c>
      <c r="AG35" s="15" t="s">
        <v>69</v>
      </c>
      <c r="AH35" s="15" t="s">
        <v>74</v>
      </c>
      <c r="AI35" s="16" t="s">
        <v>404</v>
      </c>
      <c r="AJ35" s="16" t="s">
        <v>405</v>
      </c>
      <c r="AK35" s="15" t="s">
        <v>74</v>
      </c>
      <c r="AL35" s="15" t="s">
        <v>74</v>
      </c>
      <c r="AM35" s="15" t="s">
        <v>74</v>
      </c>
      <c r="AN35" s="15" t="s">
        <v>74</v>
      </c>
      <c r="AO35" s="15" t="s">
        <v>74</v>
      </c>
      <c r="AP35" s="15" t="s">
        <v>74</v>
      </c>
      <c r="AQ35" s="15" t="s">
        <v>74</v>
      </c>
      <c r="AR35" s="15" t="s">
        <v>68</v>
      </c>
      <c r="AS35" s="15" t="s">
        <v>74</v>
      </c>
      <c r="AT35" s="15" t="s">
        <v>74</v>
      </c>
      <c r="AU35" s="15" t="s">
        <v>74</v>
      </c>
      <c r="AV35" s="15" t="s">
        <v>69</v>
      </c>
      <c r="AW35" s="15" t="s">
        <v>107</v>
      </c>
      <c r="AX35" s="15" t="s">
        <v>107</v>
      </c>
      <c r="AY35" s="15" t="s">
        <v>406</v>
      </c>
      <c r="AZ35" s="15" t="s">
        <v>74</v>
      </c>
      <c r="BA35" s="15" t="s">
        <v>74</v>
      </c>
      <c r="BB35" s="15" t="s">
        <v>74</v>
      </c>
      <c r="BC35" s="17">
        <v>35</v>
      </c>
      <c r="BD35" s="15" t="s">
        <v>119</v>
      </c>
      <c r="BE35" s="15" t="s">
        <v>74</v>
      </c>
      <c r="BF35" s="24" t="s">
        <v>407</v>
      </c>
      <c r="BG35" s="12"/>
      <c r="BH35" s="19"/>
    </row>
    <row r="36" spans="1:60" ht="14.25" customHeight="1" x14ac:dyDescent="0.3">
      <c r="A36" s="6" t="s">
        <v>408</v>
      </c>
      <c r="B36" s="7" t="s">
        <v>408</v>
      </c>
      <c r="C36" s="7" t="s">
        <v>315</v>
      </c>
      <c r="D36" s="7" t="s">
        <v>409</v>
      </c>
      <c r="E36" s="7" t="s">
        <v>410</v>
      </c>
      <c r="F36" s="9">
        <v>9386802002</v>
      </c>
      <c r="G36" s="8" t="s">
        <v>411</v>
      </c>
      <c r="H36" s="7" t="s">
        <v>395</v>
      </c>
      <c r="I36" s="7" t="s">
        <v>115</v>
      </c>
      <c r="J36" s="7" t="s">
        <v>66</v>
      </c>
      <c r="K36" s="7" t="s">
        <v>67</v>
      </c>
      <c r="L36" s="7" t="s">
        <v>69</v>
      </c>
      <c r="M36" s="7" t="s">
        <v>69</v>
      </c>
      <c r="N36" s="7" t="s">
        <v>69</v>
      </c>
      <c r="O36" s="7" t="s">
        <v>69</v>
      </c>
      <c r="P36" s="7" t="s">
        <v>69</v>
      </c>
      <c r="Q36" s="7" t="s">
        <v>69</v>
      </c>
      <c r="R36" s="7" t="s">
        <v>68</v>
      </c>
      <c r="S36" s="7" t="s">
        <v>68</v>
      </c>
      <c r="T36" s="7" t="s">
        <v>68</v>
      </c>
      <c r="U36" s="7" t="s">
        <v>68</v>
      </c>
      <c r="V36" s="7" t="s">
        <v>115</v>
      </c>
      <c r="W36" s="7" t="s">
        <v>68</v>
      </c>
      <c r="X36" s="9">
        <v>3.9</v>
      </c>
      <c r="Y36" s="9">
        <v>22</v>
      </c>
      <c r="Z36" s="7" t="s">
        <v>68</v>
      </c>
      <c r="AA36" s="7" t="s">
        <v>137</v>
      </c>
      <c r="AB36" s="7" t="s">
        <v>74</v>
      </c>
      <c r="AC36" s="7" t="s">
        <v>74</v>
      </c>
      <c r="AD36" s="7" t="s">
        <v>74</v>
      </c>
      <c r="AE36" s="7" t="s">
        <v>68</v>
      </c>
      <c r="AF36" s="7" t="s">
        <v>68</v>
      </c>
      <c r="AG36" s="7" t="s">
        <v>69</v>
      </c>
      <c r="AH36" s="7" t="s">
        <v>74</v>
      </c>
      <c r="AI36" s="7" t="s">
        <v>74</v>
      </c>
      <c r="AJ36" s="7" t="s">
        <v>74</v>
      </c>
      <c r="AK36" s="7" t="s">
        <v>74</v>
      </c>
      <c r="AL36" s="7" t="s">
        <v>74</v>
      </c>
      <c r="AM36" s="7" t="s">
        <v>74</v>
      </c>
      <c r="AN36" s="7" t="s">
        <v>74</v>
      </c>
      <c r="AO36" s="7" t="s">
        <v>74</v>
      </c>
      <c r="AP36" s="7" t="s">
        <v>74</v>
      </c>
      <c r="AQ36" s="7" t="s">
        <v>74</v>
      </c>
      <c r="AR36" s="7" t="s">
        <v>69</v>
      </c>
      <c r="AS36" s="7" t="s">
        <v>74</v>
      </c>
      <c r="AT36" s="7" t="s">
        <v>74</v>
      </c>
      <c r="AU36" s="7" t="s">
        <v>74</v>
      </c>
      <c r="AV36" s="7" t="s">
        <v>69</v>
      </c>
      <c r="AW36" s="7" t="s">
        <v>107</v>
      </c>
      <c r="AX36" s="7" t="s">
        <v>107</v>
      </c>
      <c r="AY36" s="7" t="s">
        <v>138</v>
      </c>
      <c r="AZ36" s="7" t="s">
        <v>74</v>
      </c>
      <c r="BA36" s="7" t="s">
        <v>74</v>
      </c>
      <c r="BB36" s="7" t="s">
        <v>74</v>
      </c>
      <c r="BC36" s="9">
        <v>25</v>
      </c>
      <c r="BD36" s="7" t="s">
        <v>119</v>
      </c>
      <c r="BE36" s="7" t="s">
        <v>74</v>
      </c>
      <c r="BF36" s="11" t="s">
        <v>412</v>
      </c>
      <c r="BG36" s="12"/>
      <c r="BH36" s="27"/>
    </row>
    <row r="37" spans="1:60" ht="14.25" customHeight="1" x14ac:dyDescent="0.3">
      <c r="A37" s="14" t="s">
        <v>413</v>
      </c>
      <c r="B37" s="15" t="s">
        <v>413</v>
      </c>
      <c r="C37" s="15" t="s">
        <v>414</v>
      </c>
      <c r="D37" s="15" t="s">
        <v>415</v>
      </c>
      <c r="E37" s="15" t="s">
        <v>416</v>
      </c>
      <c r="F37" s="17">
        <v>9162975862</v>
      </c>
      <c r="G37" s="16" t="s">
        <v>417</v>
      </c>
      <c r="H37" s="15" t="s">
        <v>395</v>
      </c>
      <c r="I37" s="15" t="s">
        <v>115</v>
      </c>
      <c r="J37" s="15" t="s">
        <v>66</v>
      </c>
      <c r="K37" s="15" t="s">
        <v>67</v>
      </c>
      <c r="L37" s="15" t="s">
        <v>69</v>
      </c>
      <c r="M37" s="15" t="s">
        <v>69</v>
      </c>
      <c r="N37" s="15" t="s">
        <v>69</v>
      </c>
      <c r="O37" s="15" t="s">
        <v>69</v>
      </c>
      <c r="P37" s="15" t="s">
        <v>69</v>
      </c>
      <c r="Q37" s="15" t="s">
        <v>69</v>
      </c>
      <c r="R37" s="15" t="s">
        <v>68</v>
      </c>
      <c r="S37" s="15" t="s">
        <v>68</v>
      </c>
      <c r="T37" s="15" t="s">
        <v>68</v>
      </c>
      <c r="U37" s="15" t="s">
        <v>68</v>
      </c>
      <c r="V37" s="15" t="s">
        <v>115</v>
      </c>
      <c r="W37" s="15" t="s">
        <v>68</v>
      </c>
      <c r="X37" s="17">
        <v>3.5</v>
      </c>
      <c r="Y37" s="17">
        <v>11</v>
      </c>
      <c r="Z37" s="15" t="s">
        <v>68</v>
      </c>
      <c r="AA37" s="15" t="s">
        <v>418</v>
      </c>
      <c r="AB37" s="15" t="s">
        <v>74</v>
      </c>
      <c r="AC37" s="15" t="s">
        <v>74</v>
      </c>
      <c r="AD37" s="15" t="s">
        <v>74</v>
      </c>
      <c r="AE37" s="15" t="s">
        <v>69</v>
      </c>
      <c r="AF37" s="15" t="s">
        <v>68</v>
      </c>
      <c r="AG37" s="15" t="s">
        <v>69</v>
      </c>
      <c r="AH37" s="15" t="s">
        <v>74</v>
      </c>
      <c r="AI37" s="15" t="s">
        <v>74</v>
      </c>
      <c r="AJ37" s="15" t="s">
        <v>74</v>
      </c>
      <c r="AK37" s="15" t="s">
        <v>74</v>
      </c>
      <c r="AL37" s="15" t="s">
        <v>74</v>
      </c>
      <c r="AM37" s="15" t="s">
        <v>74</v>
      </c>
      <c r="AN37" s="15" t="s">
        <v>74</v>
      </c>
      <c r="AO37" s="15" t="s">
        <v>74</v>
      </c>
      <c r="AP37" s="15" t="s">
        <v>74</v>
      </c>
      <c r="AQ37" s="15" t="s">
        <v>74</v>
      </c>
      <c r="AR37" s="15" t="s">
        <v>69</v>
      </c>
      <c r="AS37" s="15" t="s">
        <v>74</v>
      </c>
      <c r="AT37" s="15" t="s">
        <v>74</v>
      </c>
      <c r="AU37" s="15" t="s">
        <v>74</v>
      </c>
      <c r="AV37" s="15" t="s">
        <v>69</v>
      </c>
      <c r="AW37" s="15" t="s">
        <v>107</v>
      </c>
      <c r="AX37" s="15" t="s">
        <v>107</v>
      </c>
      <c r="AY37" s="15" t="s">
        <v>138</v>
      </c>
      <c r="AZ37" s="15" t="s">
        <v>74</v>
      </c>
      <c r="BA37" s="15" t="s">
        <v>74</v>
      </c>
      <c r="BB37" s="15" t="s">
        <v>74</v>
      </c>
      <c r="BC37" s="17">
        <v>20</v>
      </c>
      <c r="BD37" s="15" t="s">
        <v>119</v>
      </c>
      <c r="BE37" s="15" t="s">
        <v>74</v>
      </c>
      <c r="BF37" s="24" t="s">
        <v>419</v>
      </c>
      <c r="BG37" s="12"/>
      <c r="BH37" s="27"/>
    </row>
    <row r="38" spans="1:60" ht="14.25" customHeight="1" x14ac:dyDescent="0.3">
      <c r="A38" s="6" t="s">
        <v>420</v>
      </c>
      <c r="B38" s="7" t="s">
        <v>420</v>
      </c>
      <c r="C38" s="7" t="s">
        <v>315</v>
      </c>
      <c r="D38" s="7" t="s">
        <v>421</v>
      </c>
      <c r="E38" s="7" t="s">
        <v>422</v>
      </c>
      <c r="F38" s="9">
        <v>9835034676</v>
      </c>
      <c r="G38" s="8" t="s">
        <v>423</v>
      </c>
      <c r="H38" s="7" t="s">
        <v>395</v>
      </c>
      <c r="I38" s="7" t="s">
        <v>115</v>
      </c>
      <c r="J38" s="7" t="s">
        <v>66</v>
      </c>
      <c r="K38" s="7" t="s">
        <v>67</v>
      </c>
      <c r="L38" s="7" t="s">
        <v>69</v>
      </c>
      <c r="M38" s="7" t="s">
        <v>69</v>
      </c>
      <c r="N38" s="7" t="s">
        <v>69</v>
      </c>
      <c r="O38" s="7" t="s">
        <v>69</v>
      </c>
      <c r="P38" s="7" t="s">
        <v>69</v>
      </c>
      <c r="Q38" s="7" t="s">
        <v>69</v>
      </c>
      <c r="R38" s="7" t="s">
        <v>68</v>
      </c>
      <c r="S38" s="7" t="s">
        <v>68</v>
      </c>
      <c r="T38" s="7" t="s">
        <v>68</v>
      </c>
      <c r="U38" s="7" t="s">
        <v>68</v>
      </c>
      <c r="V38" s="7" t="s">
        <v>115</v>
      </c>
      <c r="W38" s="7" t="s">
        <v>68</v>
      </c>
      <c r="X38" s="9">
        <v>4.0999999999999996</v>
      </c>
      <c r="Y38" s="9">
        <v>144</v>
      </c>
      <c r="Z38" s="7" t="s">
        <v>68</v>
      </c>
      <c r="AA38" s="7" t="s">
        <v>424</v>
      </c>
      <c r="AB38" s="7" t="s">
        <v>74</v>
      </c>
      <c r="AC38" s="7" t="s">
        <v>74</v>
      </c>
      <c r="AD38" s="7" t="s">
        <v>74</v>
      </c>
      <c r="AE38" s="7" t="s">
        <v>69</v>
      </c>
      <c r="AF38" s="7" t="s">
        <v>68</v>
      </c>
      <c r="AG38" s="7" t="s">
        <v>69</v>
      </c>
      <c r="AH38" s="7" t="s">
        <v>74</v>
      </c>
      <c r="AI38" s="8" t="s">
        <v>425</v>
      </c>
      <c r="AJ38" s="8" t="s">
        <v>426</v>
      </c>
      <c r="AK38" s="7" t="s">
        <v>74</v>
      </c>
      <c r="AL38" s="7" t="s">
        <v>74</v>
      </c>
      <c r="AM38" s="7" t="s">
        <v>74</v>
      </c>
      <c r="AN38" s="7" t="s">
        <v>74</v>
      </c>
      <c r="AO38" s="7" t="s">
        <v>74</v>
      </c>
      <c r="AP38" s="7" t="s">
        <v>74</v>
      </c>
      <c r="AQ38" s="7" t="s">
        <v>74</v>
      </c>
      <c r="AR38" s="7" t="s">
        <v>68</v>
      </c>
      <c r="AS38" s="7" t="s">
        <v>74</v>
      </c>
      <c r="AT38" s="7" t="s">
        <v>74</v>
      </c>
      <c r="AU38" s="7" t="s">
        <v>74</v>
      </c>
      <c r="AV38" s="7" t="s">
        <v>69</v>
      </c>
      <c r="AW38" s="7" t="s">
        <v>107</v>
      </c>
      <c r="AX38" s="7" t="s">
        <v>107</v>
      </c>
      <c r="AY38" s="7" t="s">
        <v>427</v>
      </c>
      <c r="AZ38" s="7" t="s">
        <v>74</v>
      </c>
      <c r="BA38" s="7" t="s">
        <v>74</v>
      </c>
      <c r="BB38" s="7" t="s">
        <v>74</v>
      </c>
      <c r="BC38" s="9">
        <v>40</v>
      </c>
      <c r="BD38" s="7" t="s">
        <v>97</v>
      </c>
      <c r="BE38" s="7" t="s">
        <v>74</v>
      </c>
      <c r="BF38" s="25" t="s">
        <v>428</v>
      </c>
      <c r="BG38" s="12"/>
      <c r="BH38" s="27"/>
    </row>
    <row r="39" spans="1:60" ht="14.25" customHeight="1" x14ac:dyDescent="0.3">
      <c r="A39" s="14" t="s">
        <v>429</v>
      </c>
      <c r="B39" s="15" t="s">
        <v>429</v>
      </c>
      <c r="C39" s="15" t="s">
        <v>315</v>
      </c>
      <c r="D39" s="15" t="s">
        <v>430</v>
      </c>
      <c r="E39" s="15" t="s">
        <v>431</v>
      </c>
      <c r="F39" s="17">
        <v>7870926946</v>
      </c>
      <c r="G39" s="16" t="s">
        <v>432</v>
      </c>
      <c r="H39" s="15" t="s">
        <v>395</v>
      </c>
      <c r="I39" s="15" t="s">
        <v>115</v>
      </c>
      <c r="J39" s="15" t="s">
        <v>66</v>
      </c>
      <c r="K39" s="15" t="s">
        <v>67</v>
      </c>
      <c r="L39" s="15" t="s">
        <v>69</v>
      </c>
      <c r="M39" s="15" t="s">
        <v>69</v>
      </c>
      <c r="N39" s="15" t="s">
        <v>69</v>
      </c>
      <c r="O39" s="15" t="s">
        <v>69</v>
      </c>
      <c r="P39" s="15" t="s">
        <v>69</v>
      </c>
      <c r="Q39" s="15" t="s">
        <v>69</v>
      </c>
      <c r="R39" s="15" t="s">
        <v>68</v>
      </c>
      <c r="S39" s="15" t="s">
        <v>68</v>
      </c>
      <c r="T39" s="15" t="s">
        <v>68</v>
      </c>
      <c r="U39" s="15" t="s">
        <v>68</v>
      </c>
      <c r="V39" s="15" t="s">
        <v>115</v>
      </c>
      <c r="W39" s="15" t="s">
        <v>68</v>
      </c>
      <c r="X39" s="15" t="s">
        <v>74</v>
      </c>
      <c r="Y39" s="15" t="s">
        <v>74</v>
      </c>
      <c r="Z39" s="15" t="s">
        <v>68</v>
      </c>
      <c r="AA39" s="15" t="s">
        <v>283</v>
      </c>
      <c r="AB39" s="15" t="s">
        <v>74</v>
      </c>
      <c r="AC39" s="15" t="s">
        <v>74</v>
      </c>
      <c r="AD39" s="15" t="s">
        <v>74</v>
      </c>
      <c r="AE39" s="15" t="s">
        <v>69</v>
      </c>
      <c r="AF39" s="15" t="s">
        <v>68</v>
      </c>
      <c r="AG39" s="15" t="s">
        <v>69</v>
      </c>
      <c r="AH39" s="15" t="s">
        <v>74</v>
      </c>
      <c r="AI39" s="15" t="s">
        <v>74</v>
      </c>
      <c r="AJ39" s="15" t="s">
        <v>74</v>
      </c>
      <c r="AK39" s="15" t="s">
        <v>74</v>
      </c>
      <c r="AL39" s="15" t="s">
        <v>74</v>
      </c>
      <c r="AM39" s="15" t="s">
        <v>74</v>
      </c>
      <c r="AN39" s="15" t="s">
        <v>74</v>
      </c>
      <c r="AO39" s="15" t="s">
        <v>74</v>
      </c>
      <c r="AP39" s="15" t="s">
        <v>74</v>
      </c>
      <c r="AQ39" s="15" t="s">
        <v>74</v>
      </c>
      <c r="AR39" s="15" t="s">
        <v>69</v>
      </c>
      <c r="AS39" s="15" t="s">
        <v>74</v>
      </c>
      <c r="AT39" s="15" t="s">
        <v>74</v>
      </c>
      <c r="AU39" s="15" t="s">
        <v>74</v>
      </c>
      <c r="AV39" s="15" t="s">
        <v>69</v>
      </c>
      <c r="AW39" s="15" t="s">
        <v>107</v>
      </c>
      <c r="AX39" s="15" t="s">
        <v>107</v>
      </c>
      <c r="AY39" s="15" t="s">
        <v>138</v>
      </c>
      <c r="AZ39" s="15" t="s">
        <v>74</v>
      </c>
      <c r="BA39" s="15" t="s">
        <v>74</v>
      </c>
      <c r="BB39" s="15" t="s">
        <v>74</v>
      </c>
      <c r="BC39" s="17">
        <v>15</v>
      </c>
      <c r="BD39" s="15" t="s">
        <v>250</v>
      </c>
      <c r="BE39" s="15" t="s">
        <v>74</v>
      </c>
      <c r="BF39" s="24" t="s">
        <v>433</v>
      </c>
      <c r="BG39" s="12"/>
      <c r="BH39" s="27"/>
    </row>
    <row r="40" spans="1:60" ht="14.25" customHeight="1" x14ac:dyDescent="0.3">
      <c r="A40" s="6" t="s">
        <v>434</v>
      </c>
      <c r="B40" s="7" t="s">
        <v>434</v>
      </c>
      <c r="C40" s="7" t="s">
        <v>363</v>
      </c>
      <c r="D40" s="7" t="s">
        <v>435</v>
      </c>
      <c r="E40" s="7" t="s">
        <v>436</v>
      </c>
      <c r="F40" s="9">
        <v>7277266120</v>
      </c>
      <c r="G40" s="8" t="s">
        <v>437</v>
      </c>
      <c r="H40" s="7" t="s">
        <v>438</v>
      </c>
      <c r="I40" s="7" t="s">
        <v>65</v>
      </c>
      <c r="J40" s="7" t="s">
        <v>368</v>
      </c>
      <c r="K40" s="7" t="s">
        <v>67</v>
      </c>
      <c r="L40" s="7" t="s">
        <v>68</v>
      </c>
      <c r="M40" s="7" t="s">
        <v>68</v>
      </c>
      <c r="N40" s="7" t="s">
        <v>68</v>
      </c>
      <c r="O40" s="7" t="s">
        <v>68</v>
      </c>
      <c r="P40" s="7" t="s">
        <v>68</v>
      </c>
      <c r="Q40" s="7" t="s">
        <v>69</v>
      </c>
      <c r="R40" s="7" t="s">
        <v>69</v>
      </c>
      <c r="S40" s="7" t="s">
        <v>69</v>
      </c>
      <c r="T40" s="7" t="s">
        <v>68</v>
      </c>
      <c r="U40" s="7" t="s">
        <v>68</v>
      </c>
      <c r="V40" s="7" t="s">
        <v>70</v>
      </c>
      <c r="W40" s="7" t="s">
        <v>68</v>
      </c>
      <c r="X40" s="9">
        <v>4.9000000000000004</v>
      </c>
      <c r="Y40" s="9">
        <v>31</v>
      </c>
      <c r="Z40" s="7" t="s">
        <v>68</v>
      </c>
      <c r="AA40" s="7" t="s">
        <v>137</v>
      </c>
      <c r="AB40" s="8" t="s">
        <v>439</v>
      </c>
      <c r="AC40" s="7" t="s">
        <v>440</v>
      </c>
      <c r="AD40" s="7" t="s">
        <v>68</v>
      </c>
      <c r="AE40" s="7" t="s">
        <v>69</v>
      </c>
      <c r="AF40" s="7" t="s">
        <v>68</v>
      </c>
      <c r="AG40" s="7" t="s">
        <v>69</v>
      </c>
      <c r="AH40" s="7" t="s">
        <v>74</v>
      </c>
      <c r="AI40" s="7" t="s">
        <v>74</v>
      </c>
      <c r="AJ40" s="7" t="s">
        <v>74</v>
      </c>
      <c r="AK40" s="7" t="s">
        <v>74</v>
      </c>
      <c r="AL40" s="7" t="s">
        <v>74</v>
      </c>
      <c r="AM40" s="7" t="s">
        <v>74</v>
      </c>
      <c r="AN40" s="7" t="s">
        <v>74</v>
      </c>
      <c r="AO40" s="7" t="s">
        <v>74</v>
      </c>
      <c r="AP40" s="7" t="s">
        <v>74</v>
      </c>
      <c r="AQ40" s="7" t="s">
        <v>74</v>
      </c>
      <c r="AR40" s="7" t="s">
        <v>69</v>
      </c>
      <c r="AS40" s="7" t="s">
        <v>74</v>
      </c>
      <c r="AT40" s="7" t="s">
        <v>74</v>
      </c>
      <c r="AU40" s="7" t="s">
        <v>74</v>
      </c>
      <c r="AV40" s="7" t="s">
        <v>69</v>
      </c>
      <c r="AW40" s="7" t="s">
        <v>69</v>
      </c>
      <c r="AX40" s="7" t="s">
        <v>69</v>
      </c>
      <c r="AY40" s="7" t="s">
        <v>138</v>
      </c>
      <c r="AZ40" s="7" t="s">
        <v>74</v>
      </c>
      <c r="BA40" s="7" t="s">
        <v>74</v>
      </c>
      <c r="BB40" s="7" t="s">
        <v>74</v>
      </c>
      <c r="BC40" s="9">
        <v>45</v>
      </c>
      <c r="BD40" s="7" t="s">
        <v>97</v>
      </c>
      <c r="BE40" s="7" t="s">
        <v>74</v>
      </c>
      <c r="BF40" s="25" t="s">
        <v>441</v>
      </c>
      <c r="BG40" s="12"/>
      <c r="BH40" s="27"/>
    </row>
    <row r="41" spans="1:60" ht="14.25" customHeight="1" x14ac:dyDescent="0.3">
      <c r="A41" s="14" t="s">
        <v>442</v>
      </c>
      <c r="B41" s="15" t="s">
        <v>442</v>
      </c>
      <c r="C41" s="15" t="s">
        <v>443</v>
      </c>
      <c r="D41" s="15" t="s">
        <v>444</v>
      </c>
      <c r="E41" s="15" t="s">
        <v>445</v>
      </c>
      <c r="F41" s="15" t="s">
        <v>74</v>
      </c>
      <c r="G41" s="16" t="s">
        <v>446</v>
      </c>
      <c r="H41" s="15" t="s">
        <v>378</v>
      </c>
      <c r="I41" s="15" t="s">
        <v>115</v>
      </c>
      <c r="J41" s="15" t="s">
        <v>66</v>
      </c>
      <c r="K41" s="15" t="s">
        <v>67</v>
      </c>
      <c r="L41" s="15" t="s">
        <v>68</v>
      </c>
      <c r="M41" s="15" t="s">
        <v>68</v>
      </c>
      <c r="N41" s="15" t="s">
        <v>68</v>
      </c>
      <c r="O41" s="15" t="s">
        <v>69</v>
      </c>
      <c r="P41" s="15" t="s">
        <v>69</v>
      </c>
      <c r="Q41" s="15" t="s">
        <v>69</v>
      </c>
      <c r="R41" s="15" t="s">
        <v>69</v>
      </c>
      <c r="S41" s="15" t="s">
        <v>69</v>
      </c>
      <c r="T41" s="15" t="s">
        <v>68</v>
      </c>
      <c r="U41" s="15" t="s">
        <v>69</v>
      </c>
      <c r="V41" s="15" t="s">
        <v>115</v>
      </c>
      <c r="W41" s="15" t="s">
        <v>68</v>
      </c>
      <c r="X41" s="17">
        <v>4.5</v>
      </c>
      <c r="Y41" s="17">
        <v>36</v>
      </c>
      <c r="Z41" s="15" t="s">
        <v>68</v>
      </c>
      <c r="AA41" s="15" t="s">
        <v>418</v>
      </c>
      <c r="AB41" s="15" t="s">
        <v>74</v>
      </c>
      <c r="AC41" s="15" t="s">
        <v>74</v>
      </c>
      <c r="AD41" s="15" t="s">
        <v>74</v>
      </c>
      <c r="AE41" s="15" t="s">
        <v>69</v>
      </c>
      <c r="AF41" s="15" t="s">
        <v>68</v>
      </c>
      <c r="AG41" s="15" t="s">
        <v>69</v>
      </c>
      <c r="AH41" s="15" t="s">
        <v>74</v>
      </c>
      <c r="AI41" s="15" t="s">
        <v>74</v>
      </c>
      <c r="AJ41" s="15" t="s">
        <v>74</v>
      </c>
      <c r="AK41" s="15" t="s">
        <v>74</v>
      </c>
      <c r="AL41" s="15" t="s">
        <v>74</v>
      </c>
      <c r="AM41" s="15" t="s">
        <v>74</v>
      </c>
      <c r="AN41" s="15" t="s">
        <v>74</v>
      </c>
      <c r="AO41" s="15" t="s">
        <v>74</v>
      </c>
      <c r="AP41" s="15" t="s">
        <v>74</v>
      </c>
      <c r="AQ41" s="15" t="s">
        <v>74</v>
      </c>
      <c r="AR41" s="15" t="s">
        <v>68</v>
      </c>
      <c r="AS41" s="15" t="s">
        <v>68</v>
      </c>
      <c r="AT41" s="15" t="s">
        <v>74</v>
      </c>
      <c r="AU41" s="15" t="s">
        <v>74</v>
      </c>
      <c r="AV41" s="15" t="s">
        <v>69</v>
      </c>
      <c r="AW41" s="15" t="s">
        <v>107</v>
      </c>
      <c r="AX41" s="15" t="s">
        <v>107</v>
      </c>
      <c r="AY41" s="15" t="s">
        <v>447</v>
      </c>
      <c r="AZ41" s="15" t="s">
        <v>74</v>
      </c>
      <c r="BA41" s="15" t="s">
        <v>74</v>
      </c>
      <c r="BB41" s="15" t="s">
        <v>74</v>
      </c>
      <c r="BC41" s="17">
        <v>25</v>
      </c>
      <c r="BD41" s="15" t="s">
        <v>119</v>
      </c>
      <c r="BE41" s="15" t="s">
        <v>74</v>
      </c>
      <c r="BF41" s="24" t="s">
        <v>448</v>
      </c>
      <c r="BG41" s="12"/>
      <c r="BH41" s="27"/>
    </row>
    <row r="42" spans="1:60" ht="14.25" customHeight="1" x14ac:dyDescent="0.3">
      <c r="A42" s="6" t="s">
        <v>449</v>
      </c>
      <c r="B42" s="7" t="s">
        <v>449</v>
      </c>
      <c r="C42" s="7" t="s">
        <v>100</v>
      </c>
      <c r="D42" s="7" t="s">
        <v>450</v>
      </c>
      <c r="E42" s="7" t="s">
        <v>451</v>
      </c>
      <c r="F42" s="9">
        <v>7762851543</v>
      </c>
      <c r="G42" s="8" t="s">
        <v>452</v>
      </c>
      <c r="H42" s="7" t="s">
        <v>378</v>
      </c>
      <c r="I42" s="7" t="s">
        <v>115</v>
      </c>
      <c r="J42" s="7" t="s">
        <v>66</v>
      </c>
      <c r="K42" s="7" t="s">
        <v>67</v>
      </c>
      <c r="L42" s="7" t="s">
        <v>68</v>
      </c>
      <c r="M42" s="7" t="s">
        <v>68</v>
      </c>
      <c r="N42" s="7" t="s">
        <v>68</v>
      </c>
      <c r="O42" s="7" t="s">
        <v>69</v>
      </c>
      <c r="P42" s="7" t="s">
        <v>69</v>
      </c>
      <c r="Q42" s="7" t="s">
        <v>69</v>
      </c>
      <c r="R42" s="7" t="s">
        <v>69</v>
      </c>
      <c r="S42" s="7" t="s">
        <v>69</v>
      </c>
      <c r="T42" s="7" t="s">
        <v>68</v>
      </c>
      <c r="U42" s="7" t="s">
        <v>69</v>
      </c>
      <c r="V42" s="7" t="s">
        <v>115</v>
      </c>
      <c r="W42" s="7" t="s">
        <v>68</v>
      </c>
      <c r="X42" s="9">
        <v>4.3</v>
      </c>
      <c r="Y42" s="9">
        <v>7</v>
      </c>
      <c r="Z42" s="7" t="s">
        <v>68</v>
      </c>
      <c r="AA42" s="7" t="s">
        <v>129</v>
      </c>
      <c r="AB42" s="7" t="s">
        <v>74</v>
      </c>
      <c r="AC42" s="7" t="s">
        <v>74</v>
      </c>
      <c r="AD42" s="7" t="s">
        <v>74</v>
      </c>
      <c r="AE42" s="7" t="s">
        <v>68</v>
      </c>
      <c r="AF42" s="7" t="s">
        <v>68</v>
      </c>
      <c r="AG42" s="7" t="s">
        <v>69</v>
      </c>
      <c r="AH42" s="7" t="s">
        <v>74</v>
      </c>
      <c r="AI42" s="7" t="s">
        <v>74</v>
      </c>
      <c r="AJ42" s="7" t="s">
        <v>74</v>
      </c>
      <c r="AK42" s="7" t="s">
        <v>74</v>
      </c>
      <c r="AL42" s="7" t="s">
        <v>74</v>
      </c>
      <c r="AM42" s="7" t="s">
        <v>74</v>
      </c>
      <c r="AN42" s="7" t="s">
        <v>74</v>
      </c>
      <c r="AO42" s="7" t="s">
        <v>74</v>
      </c>
      <c r="AP42" s="7" t="s">
        <v>74</v>
      </c>
      <c r="AQ42" s="7" t="s">
        <v>74</v>
      </c>
      <c r="AR42" s="7" t="s">
        <v>68</v>
      </c>
      <c r="AS42" s="7" t="s">
        <v>68</v>
      </c>
      <c r="AT42" s="7" t="s">
        <v>74</v>
      </c>
      <c r="AU42" s="7" t="s">
        <v>74</v>
      </c>
      <c r="AV42" s="7" t="s">
        <v>69</v>
      </c>
      <c r="AW42" s="7" t="s">
        <v>107</v>
      </c>
      <c r="AX42" s="7" t="s">
        <v>107</v>
      </c>
      <c r="AY42" s="7" t="s">
        <v>453</v>
      </c>
      <c r="AZ42" s="7" t="s">
        <v>74</v>
      </c>
      <c r="BA42" s="7" t="s">
        <v>74</v>
      </c>
      <c r="BB42" s="7" t="s">
        <v>74</v>
      </c>
      <c r="BC42" s="9">
        <v>25</v>
      </c>
      <c r="BD42" s="7" t="s">
        <v>119</v>
      </c>
      <c r="BE42" s="7" t="s">
        <v>74</v>
      </c>
      <c r="BF42" s="11" t="s">
        <v>454</v>
      </c>
      <c r="BG42" s="12"/>
      <c r="BH42" s="27"/>
    </row>
    <row r="43" spans="1:60" ht="14.25" customHeight="1" x14ac:dyDescent="0.3">
      <c r="A43" s="14" t="s">
        <v>455</v>
      </c>
      <c r="B43" s="15" t="s">
        <v>455</v>
      </c>
      <c r="C43" s="15" t="s">
        <v>100</v>
      </c>
      <c r="D43" s="15" t="s">
        <v>456</v>
      </c>
      <c r="E43" s="15" t="s">
        <v>457</v>
      </c>
      <c r="F43" s="17">
        <v>9771943528</v>
      </c>
      <c r="G43" s="16" t="s">
        <v>458</v>
      </c>
      <c r="H43" s="15" t="s">
        <v>378</v>
      </c>
      <c r="I43" s="15" t="s">
        <v>115</v>
      </c>
      <c r="J43" s="15" t="s">
        <v>66</v>
      </c>
      <c r="K43" s="15" t="s">
        <v>67</v>
      </c>
      <c r="L43" s="15" t="s">
        <v>68</v>
      </c>
      <c r="M43" s="15" t="s">
        <v>68</v>
      </c>
      <c r="N43" s="15" t="s">
        <v>68</v>
      </c>
      <c r="O43" s="15" t="s">
        <v>69</v>
      </c>
      <c r="P43" s="15" t="s">
        <v>69</v>
      </c>
      <c r="Q43" s="15" t="s">
        <v>69</v>
      </c>
      <c r="R43" s="15" t="s">
        <v>69</v>
      </c>
      <c r="S43" s="15" t="s">
        <v>69</v>
      </c>
      <c r="T43" s="15" t="s">
        <v>68</v>
      </c>
      <c r="U43" s="15" t="s">
        <v>69</v>
      </c>
      <c r="V43" s="15" t="s">
        <v>115</v>
      </c>
      <c r="W43" s="15" t="s">
        <v>68</v>
      </c>
      <c r="X43" s="17">
        <v>5</v>
      </c>
      <c r="Y43" s="17">
        <v>1</v>
      </c>
      <c r="Z43" s="15" t="s">
        <v>68</v>
      </c>
      <c r="AA43" s="15" t="s">
        <v>129</v>
      </c>
      <c r="AB43" s="15" t="s">
        <v>74</v>
      </c>
      <c r="AC43" s="15" t="s">
        <v>74</v>
      </c>
      <c r="AD43" s="15" t="s">
        <v>74</v>
      </c>
      <c r="AE43" s="15" t="s">
        <v>69</v>
      </c>
      <c r="AF43" s="15" t="s">
        <v>68</v>
      </c>
      <c r="AG43" s="15" t="s">
        <v>69</v>
      </c>
      <c r="AH43" s="15" t="s">
        <v>74</v>
      </c>
      <c r="AI43" s="15" t="s">
        <v>74</v>
      </c>
      <c r="AJ43" s="15" t="s">
        <v>74</v>
      </c>
      <c r="AK43" s="15" t="s">
        <v>74</v>
      </c>
      <c r="AL43" s="15" t="s">
        <v>74</v>
      </c>
      <c r="AM43" s="15" t="s">
        <v>74</v>
      </c>
      <c r="AN43" s="15" t="s">
        <v>74</v>
      </c>
      <c r="AO43" s="15" t="s">
        <v>74</v>
      </c>
      <c r="AP43" s="15" t="s">
        <v>74</v>
      </c>
      <c r="AQ43" s="15" t="s">
        <v>74</v>
      </c>
      <c r="AR43" s="15" t="s">
        <v>68</v>
      </c>
      <c r="AS43" s="15" t="s">
        <v>74</v>
      </c>
      <c r="AT43" s="15" t="s">
        <v>74</v>
      </c>
      <c r="AU43" s="15" t="s">
        <v>74</v>
      </c>
      <c r="AV43" s="15" t="s">
        <v>69</v>
      </c>
      <c r="AW43" s="15" t="s">
        <v>107</v>
      </c>
      <c r="AX43" s="15" t="s">
        <v>107</v>
      </c>
      <c r="AY43" s="15" t="s">
        <v>459</v>
      </c>
      <c r="AZ43" s="15" t="s">
        <v>74</v>
      </c>
      <c r="BA43" s="15" t="s">
        <v>74</v>
      </c>
      <c r="BB43" s="15" t="s">
        <v>74</v>
      </c>
      <c r="BC43" s="17">
        <v>25</v>
      </c>
      <c r="BD43" s="15" t="s">
        <v>119</v>
      </c>
      <c r="BE43" s="15" t="s">
        <v>74</v>
      </c>
      <c r="BF43" s="24" t="s">
        <v>460</v>
      </c>
      <c r="BG43" s="12"/>
      <c r="BH43" s="27"/>
    </row>
    <row r="44" spans="1:60" ht="14.25" customHeight="1" x14ac:dyDescent="0.3">
      <c r="A44" s="6" t="s">
        <v>461</v>
      </c>
      <c r="B44" s="7" t="s">
        <v>461</v>
      </c>
      <c r="C44" s="7" t="s">
        <v>462</v>
      </c>
      <c r="D44" s="7" t="s">
        <v>463</v>
      </c>
      <c r="E44" s="7" t="s">
        <v>464</v>
      </c>
      <c r="F44" s="9">
        <v>9470590437</v>
      </c>
      <c r="G44" s="8" t="s">
        <v>465</v>
      </c>
      <c r="H44" s="7" t="s">
        <v>466</v>
      </c>
      <c r="I44" s="7" t="s">
        <v>65</v>
      </c>
      <c r="J44" s="7" t="s">
        <v>368</v>
      </c>
      <c r="K44" s="7" t="s">
        <v>67</v>
      </c>
      <c r="L44" s="7" t="s">
        <v>69</v>
      </c>
      <c r="M44" s="7" t="s">
        <v>69</v>
      </c>
      <c r="N44" s="7" t="s">
        <v>69</v>
      </c>
      <c r="O44" s="7" t="s">
        <v>68</v>
      </c>
      <c r="P44" s="7" t="s">
        <v>68</v>
      </c>
      <c r="Q44" s="7" t="s">
        <v>68</v>
      </c>
      <c r="R44" s="7" t="s">
        <v>68</v>
      </c>
      <c r="S44" s="7" t="s">
        <v>68</v>
      </c>
      <c r="T44" s="7" t="s">
        <v>69</v>
      </c>
      <c r="U44" s="7" t="s">
        <v>68</v>
      </c>
      <c r="V44" s="7" t="s">
        <v>115</v>
      </c>
      <c r="W44" s="7" t="s">
        <v>68</v>
      </c>
      <c r="X44" s="7" t="s">
        <v>74</v>
      </c>
      <c r="Y44" s="7" t="s">
        <v>74</v>
      </c>
      <c r="Z44" s="7" t="s">
        <v>68</v>
      </c>
      <c r="AA44" s="7" t="s">
        <v>467</v>
      </c>
      <c r="AB44" s="8" t="s">
        <v>468</v>
      </c>
      <c r="AC44" s="7" t="s">
        <v>469</v>
      </c>
      <c r="AD44" s="7" t="s">
        <v>68</v>
      </c>
      <c r="AE44" s="7" t="s">
        <v>69</v>
      </c>
      <c r="AF44" s="7" t="s">
        <v>68</v>
      </c>
      <c r="AG44" s="7" t="s">
        <v>69</v>
      </c>
      <c r="AH44" s="7" t="s">
        <v>74</v>
      </c>
      <c r="AI44" s="8" t="s">
        <v>470</v>
      </c>
      <c r="AJ44" s="8" t="s">
        <v>471</v>
      </c>
      <c r="AK44" s="8" t="s">
        <v>472</v>
      </c>
      <c r="AL44" s="7" t="s">
        <v>74</v>
      </c>
      <c r="AM44" s="7" t="s">
        <v>74</v>
      </c>
      <c r="AN44" s="7" t="s">
        <v>74</v>
      </c>
      <c r="AO44" s="7" t="s">
        <v>74</v>
      </c>
      <c r="AP44" s="7" t="s">
        <v>74</v>
      </c>
      <c r="AQ44" s="7" t="s">
        <v>74</v>
      </c>
      <c r="AR44" s="7" t="s">
        <v>74</v>
      </c>
      <c r="AS44" s="7" t="s">
        <v>74</v>
      </c>
      <c r="AT44" s="7" t="s">
        <v>74</v>
      </c>
      <c r="AU44" s="7" t="s">
        <v>74</v>
      </c>
      <c r="AV44" s="7" t="s">
        <v>69</v>
      </c>
      <c r="AW44" s="7" t="s">
        <v>68</v>
      </c>
      <c r="AX44" s="7" t="s">
        <v>69</v>
      </c>
      <c r="AY44" s="7" t="s">
        <v>473</v>
      </c>
      <c r="AZ44" s="7" t="s">
        <v>474</v>
      </c>
      <c r="BA44" s="7" t="s">
        <v>475</v>
      </c>
      <c r="BB44" s="7" t="s">
        <v>476</v>
      </c>
      <c r="BC44" s="9">
        <v>60</v>
      </c>
      <c r="BD44" s="7" t="s">
        <v>80</v>
      </c>
      <c r="BE44" s="7" t="s">
        <v>477</v>
      </c>
      <c r="BF44" s="11" t="s">
        <v>478</v>
      </c>
      <c r="BG44" s="12"/>
      <c r="BH44" s="27"/>
    </row>
    <row r="45" spans="1:60" ht="14.25" customHeight="1" x14ac:dyDescent="0.3">
      <c r="A45" s="14" t="s">
        <v>479</v>
      </c>
      <c r="B45" s="15" t="s">
        <v>479</v>
      </c>
      <c r="C45" s="15" t="s">
        <v>480</v>
      </c>
      <c r="D45" s="15" t="s">
        <v>481</v>
      </c>
      <c r="E45" s="15" t="s">
        <v>482</v>
      </c>
      <c r="F45" s="17">
        <v>9431103529</v>
      </c>
      <c r="G45" s="16" t="s">
        <v>483</v>
      </c>
      <c r="H45" s="15" t="s">
        <v>107</v>
      </c>
      <c r="I45" s="15" t="s">
        <v>107</v>
      </c>
      <c r="J45" s="15" t="s">
        <v>127</v>
      </c>
      <c r="K45" s="15" t="s">
        <v>128</v>
      </c>
      <c r="L45" s="15" t="s">
        <v>69</v>
      </c>
      <c r="M45" s="15" t="s">
        <v>69</v>
      </c>
      <c r="N45" s="15" t="s">
        <v>69</v>
      </c>
      <c r="O45" s="15" t="s">
        <v>69</v>
      </c>
      <c r="P45" s="15" t="s">
        <v>69</v>
      </c>
      <c r="Q45" s="15" t="s">
        <v>69</v>
      </c>
      <c r="R45" s="15" t="s">
        <v>69</v>
      </c>
      <c r="S45" s="15" t="s">
        <v>69</v>
      </c>
      <c r="T45" s="15" t="s">
        <v>69</v>
      </c>
      <c r="U45" s="15" t="s">
        <v>69</v>
      </c>
      <c r="V45" s="15" t="s">
        <v>107</v>
      </c>
      <c r="W45" s="15" t="s">
        <v>68</v>
      </c>
      <c r="X45" s="17">
        <v>4.0999999999999996</v>
      </c>
      <c r="Y45" s="17">
        <v>48</v>
      </c>
      <c r="Z45" s="15" t="s">
        <v>68</v>
      </c>
      <c r="AA45" s="15" t="s">
        <v>484</v>
      </c>
      <c r="AB45" s="15" t="s">
        <v>74</v>
      </c>
      <c r="AC45" s="15" t="s">
        <v>74</v>
      </c>
      <c r="AD45" s="15" t="s">
        <v>74</v>
      </c>
      <c r="AE45" s="15" t="s">
        <v>69</v>
      </c>
      <c r="AF45" s="15" t="s">
        <v>68</v>
      </c>
      <c r="AG45" s="15" t="s">
        <v>68</v>
      </c>
      <c r="AH45" s="15" t="s">
        <v>74</v>
      </c>
      <c r="AI45" s="16" t="s">
        <v>485</v>
      </c>
      <c r="AJ45" s="15" t="s">
        <v>74</v>
      </c>
      <c r="AK45" s="15" t="s">
        <v>74</v>
      </c>
      <c r="AL45" s="15" t="s">
        <v>74</v>
      </c>
      <c r="AM45" s="15" t="s">
        <v>74</v>
      </c>
      <c r="AN45" s="15" t="s">
        <v>74</v>
      </c>
      <c r="AO45" s="15" t="s">
        <v>74</v>
      </c>
      <c r="AP45" s="15" t="s">
        <v>74</v>
      </c>
      <c r="AQ45" s="15" t="s">
        <v>74</v>
      </c>
      <c r="AR45" s="15" t="s">
        <v>68</v>
      </c>
      <c r="AS45" s="15" t="s">
        <v>74</v>
      </c>
      <c r="AT45" s="15" t="s">
        <v>74</v>
      </c>
      <c r="AU45" s="15" t="s">
        <v>74</v>
      </c>
      <c r="AV45" s="15" t="s">
        <v>69</v>
      </c>
      <c r="AW45" s="15" t="s">
        <v>107</v>
      </c>
      <c r="AX45" s="15" t="s">
        <v>107</v>
      </c>
      <c r="AY45" s="15" t="s">
        <v>486</v>
      </c>
      <c r="AZ45" s="15" t="s">
        <v>107</v>
      </c>
      <c r="BA45" s="15" t="s">
        <v>107</v>
      </c>
      <c r="BB45" s="15" t="s">
        <v>107</v>
      </c>
      <c r="BC45" s="17">
        <v>0</v>
      </c>
      <c r="BD45" s="15" t="s">
        <v>127</v>
      </c>
      <c r="BE45" s="15" t="s">
        <v>107</v>
      </c>
      <c r="BF45" s="18" t="s">
        <v>487</v>
      </c>
      <c r="BG45" s="23"/>
      <c r="BH45" s="27"/>
    </row>
    <row r="46" spans="1:60" ht="14.25" customHeight="1" x14ac:dyDescent="0.3">
      <c r="A46" s="6" t="s">
        <v>488</v>
      </c>
      <c r="B46" s="7" t="s">
        <v>488</v>
      </c>
      <c r="C46" s="7" t="s">
        <v>100</v>
      </c>
      <c r="D46" s="7" t="s">
        <v>489</v>
      </c>
      <c r="E46" s="7" t="s">
        <v>490</v>
      </c>
      <c r="F46" s="9">
        <v>9006079620</v>
      </c>
      <c r="G46" s="8" t="s">
        <v>491</v>
      </c>
      <c r="H46" s="7" t="s">
        <v>492</v>
      </c>
      <c r="I46" s="7" t="s">
        <v>65</v>
      </c>
      <c r="J46" s="7" t="s">
        <v>66</v>
      </c>
      <c r="K46" s="7" t="s">
        <v>67</v>
      </c>
      <c r="L46" s="7" t="s">
        <v>68</v>
      </c>
      <c r="M46" s="7" t="s">
        <v>68</v>
      </c>
      <c r="N46" s="7" t="s">
        <v>68</v>
      </c>
      <c r="O46" s="7" t="s">
        <v>68</v>
      </c>
      <c r="P46" s="7" t="s">
        <v>69</v>
      </c>
      <c r="Q46" s="7" t="s">
        <v>69</v>
      </c>
      <c r="R46" s="7" t="s">
        <v>69</v>
      </c>
      <c r="S46" s="7" t="s">
        <v>69</v>
      </c>
      <c r="T46" s="7" t="s">
        <v>68</v>
      </c>
      <c r="U46" s="7" t="s">
        <v>69</v>
      </c>
      <c r="V46" s="7" t="s">
        <v>115</v>
      </c>
      <c r="W46" s="7" t="s">
        <v>68</v>
      </c>
      <c r="X46" s="9">
        <v>5</v>
      </c>
      <c r="Y46" s="9">
        <v>4</v>
      </c>
      <c r="Z46" s="7" t="s">
        <v>68</v>
      </c>
      <c r="AA46" s="7" t="s">
        <v>129</v>
      </c>
      <c r="AB46" s="7" t="s">
        <v>74</v>
      </c>
      <c r="AC46" s="7" t="s">
        <v>74</v>
      </c>
      <c r="AD46" s="7" t="s">
        <v>74</v>
      </c>
      <c r="AE46" s="7" t="s">
        <v>68</v>
      </c>
      <c r="AF46" s="7" t="s">
        <v>68</v>
      </c>
      <c r="AG46" s="7" t="s">
        <v>69</v>
      </c>
      <c r="AH46" s="7" t="s">
        <v>74</v>
      </c>
      <c r="AI46" s="7" t="s">
        <v>74</v>
      </c>
      <c r="AJ46" s="7" t="s">
        <v>74</v>
      </c>
      <c r="AK46" s="7" t="s">
        <v>74</v>
      </c>
      <c r="AL46" s="7" t="s">
        <v>74</v>
      </c>
      <c r="AM46" s="7" t="s">
        <v>74</v>
      </c>
      <c r="AN46" s="7" t="s">
        <v>74</v>
      </c>
      <c r="AO46" s="7" t="s">
        <v>74</v>
      </c>
      <c r="AP46" s="7" t="s">
        <v>74</v>
      </c>
      <c r="AQ46" s="7" t="s">
        <v>74</v>
      </c>
      <c r="AR46" s="7" t="s">
        <v>68</v>
      </c>
      <c r="AS46" s="7" t="s">
        <v>74</v>
      </c>
      <c r="AT46" s="7" t="s">
        <v>74</v>
      </c>
      <c r="AU46" s="7" t="s">
        <v>74</v>
      </c>
      <c r="AV46" s="7" t="s">
        <v>69</v>
      </c>
      <c r="AW46" s="7" t="s">
        <v>107</v>
      </c>
      <c r="AX46" s="7" t="s">
        <v>107</v>
      </c>
      <c r="AY46" s="7" t="s">
        <v>493</v>
      </c>
      <c r="AZ46" s="7" t="s">
        <v>74</v>
      </c>
      <c r="BA46" s="7" t="s">
        <v>74</v>
      </c>
      <c r="BB46" s="7" t="s">
        <v>74</v>
      </c>
      <c r="BC46" s="9">
        <v>35</v>
      </c>
      <c r="BD46" s="7" t="s">
        <v>119</v>
      </c>
      <c r="BE46" s="7" t="s">
        <v>74</v>
      </c>
      <c r="BF46" s="11" t="s">
        <v>494</v>
      </c>
      <c r="BG46" s="12"/>
      <c r="BH46" s="27"/>
    </row>
    <row r="47" spans="1:60" ht="14.25" customHeight="1" x14ac:dyDescent="0.3">
      <c r="A47" s="14" t="s">
        <v>495</v>
      </c>
      <c r="B47" s="15" t="s">
        <v>495</v>
      </c>
      <c r="C47" s="15" t="s">
        <v>100</v>
      </c>
      <c r="D47" s="15" t="s">
        <v>496</v>
      </c>
      <c r="E47" s="15" t="s">
        <v>497</v>
      </c>
      <c r="F47" s="17">
        <v>7870153026</v>
      </c>
      <c r="G47" s="16" t="s">
        <v>498</v>
      </c>
      <c r="H47" s="15" t="s">
        <v>499</v>
      </c>
      <c r="I47" s="15" t="s">
        <v>65</v>
      </c>
      <c r="J47" s="15" t="s">
        <v>66</v>
      </c>
      <c r="K47" s="15" t="s">
        <v>67</v>
      </c>
      <c r="L47" s="15" t="s">
        <v>68</v>
      </c>
      <c r="M47" s="15" t="s">
        <v>68</v>
      </c>
      <c r="N47" s="15" t="s">
        <v>68</v>
      </c>
      <c r="O47" s="15" t="s">
        <v>68</v>
      </c>
      <c r="P47" s="15" t="s">
        <v>69</v>
      </c>
      <c r="Q47" s="15" t="s">
        <v>68</v>
      </c>
      <c r="R47" s="15" t="s">
        <v>69</v>
      </c>
      <c r="S47" s="15" t="s">
        <v>69</v>
      </c>
      <c r="T47" s="15" t="s">
        <v>68</v>
      </c>
      <c r="U47" s="15" t="s">
        <v>69</v>
      </c>
      <c r="V47" s="15" t="s">
        <v>115</v>
      </c>
      <c r="W47" s="15" t="s">
        <v>68</v>
      </c>
      <c r="X47" s="17">
        <v>5</v>
      </c>
      <c r="Y47" s="17">
        <v>3</v>
      </c>
      <c r="Z47" s="15" t="s">
        <v>68</v>
      </c>
      <c r="AA47" s="15" t="s">
        <v>129</v>
      </c>
      <c r="AB47" s="15" t="s">
        <v>74</v>
      </c>
      <c r="AC47" s="15" t="s">
        <v>74</v>
      </c>
      <c r="AD47" s="15" t="s">
        <v>74</v>
      </c>
      <c r="AE47" s="15" t="s">
        <v>68</v>
      </c>
      <c r="AF47" s="15" t="s">
        <v>68</v>
      </c>
      <c r="AG47" s="15" t="s">
        <v>69</v>
      </c>
      <c r="AH47" s="15" t="s">
        <v>74</v>
      </c>
      <c r="AI47" s="15" t="s">
        <v>74</v>
      </c>
      <c r="AJ47" s="15" t="s">
        <v>74</v>
      </c>
      <c r="AK47" s="15" t="s">
        <v>74</v>
      </c>
      <c r="AL47" s="15" t="s">
        <v>74</v>
      </c>
      <c r="AM47" s="15" t="s">
        <v>74</v>
      </c>
      <c r="AN47" s="15" t="s">
        <v>74</v>
      </c>
      <c r="AO47" s="15" t="s">
        <v>74</v>
      </c>
      <c r="AP47" s="15" t="s">
        <v>74</v>
      </c>
      <c r="AQ47" s="15" t="s">
        <v>74</v>
      </c>
      <c r="AR47" s="15" t="s">
        <v>68</v>
      </c>
      <c r="AS47" s="15" t="s">
        <v>74</v>
      </c>
      <c r="AT47" s="15" t="s">
        <v>74</v>
      </c>
      <c r="AU47" s="15" t="s">
        <v>74</v>
      </c>
      <c r="AV47" s="15" t="s">
        <v>69</v>
      </c>
      <c r="AW47" s="15" t="s">
        <v>107</v>
      </c>
      <c r="AX47" s="15" t="s">
        <v>107</v>
      </c>
      <c r="AY47" s="15" t="s">
        <v>500</v>
      </c>
      <c r="AZ47" s="15" t="s">
        <v>74</v>
      </c>
      <c r="BA47" s="15" t="s">
        <v>74</v>
      </c>
      <c r="BB47" s="15" t="s">
        <v>74</v>
      </c>
      <c r="BC47" s="17">
        <v>45</v>
      </c>
      <c r="BD47" s="15" t="s">
        <v>97</v>
      </c>
      <c r="BE47" s="15" t="s">
        <v>74</v>
      </c>
      <c r="BF47" s="18" t="s">
        <v>501</v>
      </c>
      <c r="BG47" s="12"/>
      <c r="BH47" s="27"/>
    </row>
    <row r="48" spans="1:60" ht="14.25" customHeight="1" x14ac:dyDescent="0.3">
      <c r="A48" s="6" t="s">
        <v>502</v>
      </c>
      <c r="B48" s="7" t="s">
        <v>502</v>
      </c>
      <c r="C48" s="7" t="s">
        <v>100</v>
      </c>
      <c r="D48" s="7" t="s">
        <v>503</v>
      </c>
      <c r="E48" s="7" t="s">
        <v>497</v>
      </c>
      <c r="F48" s="9">
        <v>9162049609</v>
      </c>
      <c r="G48" s="8" t="s">
        <v>504</v>
      </c>
      <c r="H48" s="7" t="s">
        <v>505</v>
      </c>
      <c r="I48" s="7" t="s">
        <v>65</v>
      </c>
      <c r="J48" s="7" t="s">
        <v>66</v>
      </c>
      <c r="K48" s="7" t="s">
        <v>67</v>
      </c>
      <c r="L48" s="7" t="s">
        <v>68</v>
      </c>
      <c r="M48" s="7" t="s">
        <v>68</v>
      </c>
      <c r="N48" s="7" t="s">
        <v>68</v>
      </c>
      <c r="O48" s="7" t="s">
        <v>68</v>
      </c>
      <c r="P48" s="7" t="s">
        <v>69</v>
      </c>
      <c r="Q48" s="7" t="s">
        <v>69</v>
      </c>
      <c r="R48" s="7" t="s">
        <v>69</v>
      </c>
      <c r="S48" s="7" t="s">
        <v>69</v>
      </c>
      <c r="T48" s="7" t="s">
        <v>68</v>
      </c>
      <c r="U48" s="7" t="s">
        <v>69</v>
      </c>
      <c r="V48" s="7" t="s">
        <v>115</v>
      </c>
      <c r="W48" s="7" t="s">
        <v>68</v>
      </c>
      <c r="X48" s="9">
        <v>3.2</v>
      </c>
      <c r="Y48" s="9">
        <v>6</v>
      </c>
      <c r="Z48" s="7" t="s">
        <v>68</v>
      </c>
      <c r="AA48" s="7" t="s">
        <v>129</v>
      </c>
      <c r="AB48" s="7" t="s">
        <v>74</v>
      </c>
      <c r="AC48" s="7" t="s">
        <v>74</v>
      </c>
      <c r="AD48" s="7" t="s">
        <v>74</v>
      </c>
      <c r="AE48" s="7" t="s">
        <v>68</v>
      </c>
      <c r="AF48" s="7" t="s">
        <v>68</v>
      </c>
      <c r="AG48" s="7" t="s">
        <v>69</v>
      </c>
      <c r="AH48" s="7" t="s">
        <v>74</v>
      </c>
      <c r="AI48" s="7" t="s">
        <v>74</v>
      </c>
      <c r="AJ48" s="7" t="s">
        <v>74</v>
      </c>
      <c r="AK48" s="7" t="s">
        <v>74</v>
      </c>
      <c r="AL48" s="7" t="s">
        <v>74</v>
      </c>
      <c r="AM48" s="7" t="s">
        <v>74</v>
      </c>
      <c r="AN48" s="7" t="s">
        <v>74</v>
      </c>
      <c r="AO48" s="7" t="s">
        <v>74</v>
      </c>
      <c r="AP48" s="7" t="s">
        <v>74</v>
      </c>
      <c r="AQ48" s="7" t="s">
        <v>74</v>
      </c>
      <c r="AR48" s="7" t="s">
        <v>68</v>
      </c>
      <c r="AS48" s="7" t="s">
        <v>74</v>
      </c>
      <c r="AT48" s="7" t="s">
        <v>74</v>
      </c>
      <c r="AU48" s="7" t="s">
        <v>74</v>
      </c>
      <c r="AV48" s="7" t="s">
        <v>69</v>
      </c>
      <c r="AW48" s="7" t="s">
        <v>107</v>
      </c>
      <c r="AX48" s="7" t="s">
        <v>107</v>
      </c>
      <c r="AY48" s="7" t="s">
        <v>506</v>
      </c>
      <c r="AZ48" s="7" t="s">
        <v>74</v>
      </c>
      <c r="BA48" s="7" t="s">
        <v>74</v>
      </c>
      <c r="BB48" s="7" t="s">
        <v>74</v>
      </c>
      <c r="BC48" s="9">
        <v>35</v>
      </c>
      <c r="BD48" s="7" t="s">
        <v>119</v>
      </c>
      <c r="BE48" s="7" t="s">
        <v>74</v>
      </c>
      <c r="BF48" s="11" t="s">
        <v>507</v>
      </c>
      <c r="BG48" s="12"/>
      <c r="BH48" s="27"/>
    </row>
    <row r="49" spans="1:60" ht="14.25" customHeight="1" x14ac:dyDescent="0.3">
      <c r="A49" s="14" t="s">
        <v>508</v>
      </c>
      <c r="B49" s="15" t="s">
        <v>508</v>
      </c>
      <c r="C49" s="15" t="s">
        <v>509</v>
      </c>
      <c r="D49" s="15" t="s">
        <v>510</v>
      </c>
      <c r="E49" s="15" t="s">
        <v>393</v>
      </c>
      <c r="F49" s="17">
        <v>8409052951</v>
      </c>
      <c r="G49" s="16" t="s">
        <v>511</v>
      </c>
      <c r="H49" s="15" t="s">
        <v>272</v>
      </c>
      <c r="I49" s="15" t="s">
        <v>90</v>
      </c>
      <c r="J49" s="15" t="s">
        <v>66</v>
      </c>
      <c r="K49" s="15" t="s">
        <v>67</v>
      </c>
      <c r="L49" s="15" t="s">
        <v>68</v>
      </c>
      <c r="M49" s="15" t="s">
        <v>69</v>
      </c>
      <c r="N49" s="15" t="s">
        <v>69</v>
      </c>
      <c r="O49" s="15" t="s">
        <v>69</v>
      </c>
      <c r="P49" s="15" t="s">
        <v>69</v>
      </c>
      <c r="Q49" s="15" t="s">
        <v>69</v>
      </c>
      <c r="R49" s="15" t="s">
        <v>69</v>
      </c>
      <c r="S49" s="15" t="s">
        <v>69</v>
      </c>
      <c r="T49" s="15" t="s">
        <v>68</v>
      </c>
      <c r="U49" s="15" t="s">
        <v>69</v>
      </c>
      <c r="V49" s="15" t="s">
        <v>92</v>
      </c>
      <c r="W49" s="15" t="s">
        <v>68</v>
      </c>
      <c r="X49" s="17">
        <v>5</v>
      </c>
      <c r="Y49" s="17">
        <v>6</v>
      </c>
      <c r="Z49" s="15" t="s">
        <v>68</v>
      </c>
      <c r="AA49" s="15" t="s">
        <v>105</v>
      </c>
      <c r="AB49" s="16" t="s">
        <v>512</v>
      </c>
      <c r="AC49" s="15" t="s">
        <v>338</v>
      </c>
      <c r="AD49" s="15" t="s">
        <v>68</v>
      </c>
      <c r="AE49" s="15" t="s">
        <v>68</v>
      </c>
      <c r="AF49" s="15" t="s">
        <v>68</v>
      </c>
      <c r="AG49" s="15" t="s">
        <v>69</v>
      </c>
      <c r="AH49" s="15" t="s">
        <v>74</v>
      </c>
      <c r="AI49" s="16" t="s">
        <v>513</v>
      </c>
      <c r="AJ49" s="16" t="s">
        <v>514</v>
      </c>
      <c r="AK49" s="15" t="s">
        <v>74</v>
      </c>
      <c r="AL49" s="15" t="s">
        <v>74</v>
      </c>
      <c r="AM49" s="15" t="s">
        <v>74</v>
      </c>
      <c r="AN49" s="15" t="s">
        <v>74</v>
      </c>
      <c r="AO49" s="15" t="s">
        <v>74</v>
      </c>
      <c r="AP49" s="15" t="s">
        <v>74</v>
      </c>
      <c r="AQ49" s="15" t="s">
        <v>74</v>
      </c>
      <c r="AR49" s="15" t="s">
        <v>68</v>
      </c>
      <c r="AS49" s="15" t="s">
        <v>74</v>
      </c>
      <c r="AT49" s="15" t="s">
        <v>74</v>
      </c>
      <c r="AU49" s="15" t="s">
        <v>74</v>
      </c>
      <c r="AV49" s="15" t="s">
        <v>69</v>
      </c>
      <c r="AW49" s="15" t="s">
        <v>68</v>
      </c>
      <c r="AX49" s="15" t="s">
        <v>69</v>
      </c>
      <c r="AY49" s="15" t="s">
        <v>515</v>
      </c>
      <c r="AZ49" s="15" t="s">
        <v>74</v>
      </c>
      <c r="BA49" s="15" t="s">
        <v>74</v>
      </c>
      <c r="BB49" s="15" t="s">
        <v>74</v>
      </c>
      <c r="BC49" s="17">
        <v>20</v>
      </c>
      <c r="BD49" s="15" t="s">
        <v>119</v>
      </c>
      <c r="BE49" s="15" t="s">
        <v>74</v>
      </c>
      <c r="BF49" s="18" t="s">
        <v>516</v>
      </c>
      <c r="BG49" s="12"/>
      <c r="BH49" s="27"/>
    </row>
    <row r="50" spans="1:60" ht="14.25" customHeight="1" x14ac:dyDescent="0.3">
      <c r="A50" s="28"/>
      <c r="B50" s="29"/>
      <c r="C50" s="30"/>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t="str">
        <f t="shared" ref="BD50:BD99" si="0">IF(A50="", "", IFS(K50="Exclude", "Excluded", BC50&gt;=80, "High-threat / Benchmark Competitor", BC50&gt;=60, "Strong Competitor", BC50&gt;=40, "Moderate Competitor", BC50&gt;=20, "Weak Competitor", BC50&lt;20, "Low Relevance"))</f>
        <v/>
      </c>
      <c r="BE50" s="29"/>
      <c r="BF50" s="31"/>
      <c r="BG50" s="29"/>
      <c r="BH50" s="29"/>
    </row>
    <row r="51" spans="1:60" ht="14.25" customHeight="1" x14ac:dyDescent="0.3">
      <c r="A51" s="28"/>
      <c r="B51" s="29"/>
      <c r="C51" s="30"/>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t="str">
        <f t="shared" si="0"/>
        <v/>
      </c>
      <c r="BE51" s="29"/>
      <c r="BF51" s="29"/>
      <c r="BG51" s="29"/>
      <c r="BH51" s="29"/>
    </row>
    <row r="52" spans="1:60" ht="14.25" customHeight="1" x14ac:dyDescent="0.3">
      <c r="A52" s="28"/>
      <c r="B52" s="29"/>
      <c r="C52" s="30"/>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t="str">
        <f t="shared" si="0"/>
        <v/>
      </c>
      <c r="BE52" s="29"/>
      <c r="BF52" s="29"/>
      <c r="BG52" s="29"/>
      <c r="BH52" s="29"/>
    </row>
    <row r="53" spans="1:60" ht="14.25" customHeight="1" x14ac:dyDescent="0.3">
      <c r="A53" s="28"/>
      <c r="B53" s="29"/>
      <c r="C53" s="30"/>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t="str">
        <f t="shared" si="0"/>
        <v/>
      </c>
      <c r="BE53" s="29"/>
      <c r="BF53" s="29"/>
      <c r="BG53" s="29"/>
      <c r="BH53" s="29"/>
    </row>
    <row r="54" spans="1:60" ht="14.25" customHeight="1" x14ac:dyDescent="0.3">
      <c r="A54" s="28"/>
      <c r="B54" s="29"/>
      <c r="C54" s="30"/>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t="str">
        <f t="shared" si="0"/>
        <v/>
      </c>
      <c r="BE54" s="29"/>
      <c r="BF54" s="29"/>
      <c r="BG54" s="29"/>
      <c r="BH54" s="29"/>
    </row>
    <row r="55" spans="1:60" ht="14.25" customHeight="1" x14ac:dyDescent="0.3">
      <c r="A55" s="28"/>
      <c r="B55" s="31" t="s">
        <v>517</v>
      </c>
      <c r="C55" s="30"/>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t="str">
        <f t="shared" si="0"/>
        <v/>
      </c>
      <c r="BE55" s="29"/>
      <c r="BF55" s="29"/>
      <c r="BG55" s="29"/>
      <c r="BH55" s="29"/>
    </row>
    <row r="56" spans="1:60" ht="14.25" customHeight="1" x14ac:dyDescent="0.3">
      <c r="A56" s="28"/>
      <c r="B56" s="29"/>
      <c r="C56" s="30"/>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t="str">
        <f t="shared" si="0"/>
        <v/>
      </c>
      <c r="BE56" s="29"/>
      <c r="BF56" s="29"/>
      <c r="BG56" s="29"/>
      <c r="BH56" s="29"/>
    </row>
    <row r="57" spans="1:60" ht="14.25" customHeight="1" x14ac:dyDescent="0.3">
      <c r="A57" s="28"/>
      <c r="B57" s="29"/>
      <c r="C57" s="30"/>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t="str">
        <f t="shared" si="0"/>
        <v/>
      </c>
      <c r="BE57" s="29"/>
      <c r="BF57" s="29"/>
      <c r="BG57" s="29"/>
      <c r="BH57" s="29"/>
    </row>
    <row r="58" spans="1:60" ht="14.25" customHeight="1" x14ac:dyDescent="0.3">
      <c r="A58" s="28"/>
      <c r="B58" s="29"/>
      <c r="C58" s="30"/>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t="str">
        <f t="shared" si="0"/>
        <v/>
      </c>
      <c r="BE58" s="29"/>
      <c r="BF58" s="29"/>
      <c r="BG58" s="29"/>
      <c r="BH58" s="29"/>
    </row>
    <row r="59" spans="1:60" ht="14.25" customHeight="1" x14ac:dyDescent="0.3">
      <c r="A59" s="28"/>
      <c r="B59" s="29"/>
      <c r="C59" s="30"/>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A59" s="29"/>
      <c r="BB59" s="29"/>
      <c r="BC59" s="29"/>
      <c r="BD59" s="29" t="str">
        <f t="shared" si="0"/>
        <v/>
      </c>
      <c r="BE59" s="29"/>
      <c r="BF59" s="29"/>
      <c r="BG59" s="29"/>
      <c r="BH59" s="29"/>
    </row>
    <row r="60" spans="1:60" ht="14.25" customHeight="1" x14ac:dyDescent="0.3">
      <c r="A60" s="28"/>
      <c r="B60" s="29"/>
      <c r="C60" s="30"/>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t="str">
        <f t="shared" si="0"/>
        <v/>
      </c>
      <c r="BE60" s="29"/>
      <c r="BF60" s="29"/>
      <c r="BG60" s="29"/>
      <c r="BH60" s="29"/>
    </row>
    <row r="61" spans="1:60" ht="14.25" customHeight="1" x14ac:dyDescent="0.3">
      <c r="A61" s="28"/>
      <c r="B61" s="29"/>
      <c r="C61" s="30"/>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t="str">
        <f t="shared" si="0"/>
        <v/>
      </c>
      <c r="BE61" s="29"/>
      <c r="BF61" s="29"/>
      <c r="BG61" s="29"/>
      <c r="BH61" s="29"/>
    </row>
    <row r="62" spans="1:60" ht="14.25" customHeight="1" x14ac:dyDescent="0.3">
      <c r="A62" s="28"/>
      <c r="B62" s="29"/>
      <c r="C62" s="30"/>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t="str">
        <f t="shared" si="0"/>
        <v/>
      </c>
      <c r="BE62" s="29"/>
      <c r="BF62" s="29"/>
      <c r="BG62" s="29"/>
      <c r="BH62" s="29"/>
    </row>
    <row r="63" spans="1:60" ht="14.25" customHeight="1" x14ac:dyDescent="0.3">
      <c r="A63" s="28"/>
      <c r="B63" s="29"/>
      <c r="C63" s="30"/>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t="str">
        <f t="shared" si="0"/>
        <v/>
      </c>
      <c r="BE63" s="29"/>
      <c r="BF63" s="29"/>
      <c r="BG63" s="29"/>
      <c r="BH63" s="29"/>
    </row>
    <row r="64" spans="1:60" ht="14.25" customHeight="1" x14ac:dyDescent="0.3">
      <c r="A64" s="28"/>
      <c r="B64" s="29"/>
      <c r="C64" s="30"/>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t="str">
        <f t="shared" si="0"/>
        <v/>
      </c>
      <c r="BE64" s="29"/>
      <c r="BF64" s="29"/>
      <c r="BG64" s="29"/>
      <c r="BH64" s="29"/>
    </row>
    <row r="65" spans="1:60" ht="14.25" customHeight="1" x14ac:dyDescent="0.3">
      <c r="A65" s="28"/>
      <c r="B65" s="29"/>
      <c r="C65" s="30"/>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t="str">
        <f t="shared" si="0"/>
        <v/>
      </c>
      <c r="BE65" s="29"/>
      <c r="BF65" s="29"/>
      <c r="BG65" s="29"/>
      <c r="BH65" s="29"/>
    </row>
    <row r="66" spans="1:60" ht="14.25" customHeight="1" x14ac:dyDescent="0.3">
      <c r="A66" s="28"/>
      <c r="B66" s="29"/>
      <c r="C66" s="30"/>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t="str">
        <f t="shared" si="0"/>
        <v/>
      </c>
      <c r="BE66" s="29"/>
      <c r="BF66" s="29"/>
      <c r="BG66" s="29"/>
      <c r="BH66" s="29"/>
    </row>
    <row r="67" spans="1:60" ht="14.25" customHeight="1" x14ac:dyDescent="0.3">
      <c r="A67" s="28"/>
      <c r="B67" s="29"/>
      <c r="C67" s="30"/>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t="str">
        <f t="shared" si="0"/>
        <v/>
      </c>
      <c r="BE67" s="29"/>
      <c r="BF67" s="29"/>
      <c r="BG67" s="29"/>
      <c r="BH67" s="29"/>
    </row>
    <row r="68" spans="1:60" ht="14.25" customHeight="1" x14ac:dyDescent="0.3">
      <c r="A68" s="28"/>
      <c r="B68" s="29"/>
      <c r="C68" s="30"/>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t="str">
        <f t="shared" si="0"/>
        <v/>
      </c>
      <c r="BE68" s="29"/>
      <c r="BF68" s="29"/>
      <c r="BG68" s="29"/>
      <c r="BH68" s="29"/>
    </row>
    <row r="69" spans="1:60" ht="14.25" customHeight="1" x14ac:dyDescent="0.3">
      <c r="A69" s="28"/>
      <c r="B69" s="29"/>
      <c r="C69" s="30"/>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t="str">
        <f t="shared" si="0"/>
        <v/>
      </c>
      <c r="BE69" s="29"/>
      <c r="BF69" s="29"/>
      <c r="BG69" s="29"/>
      <c r="BH69" s="29"/>
    </row>
    <row r="70" spans="1:60" ht="14.25" customHeight="1" x14ac:dyDescent="0.3">
      <c r="A70" s="28"/>
      <c r="B70" s="29"/>
      <c r="C70" s="30"/>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t="str">
        <f t="shared" si="0"/>
        <v/>
      </c>
      <c r="BE70" s="29"/>
      <c r="BF70" s="29"/>
      <c r="BG70" s="29"/>
      <c r="BH70" s="29"/>
    </row>
    <row r="71" spans="1:60" ht="14.25" customHeight="1" x14ac:dyDescent="0.3">
      <c r="A71" s="28"/>
      <c r="B71" s="29"/>
      <c r="C71" s="30"/>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t="str">
        <f t="shared" si="0"/>
        <v/>
      </c>
      <c r="BE71" s="29"/>
      <c r="BF71" s="29"/>
      <c r="BG71" s="29"/>
      <c r="BH71" s="29"/>
    </row>
    <row r="72" spans="1:60" ht="14.25" customHeight="1" x14ac:dyDescent="0.3">
      <c r="A72" s="28"/>
      <c r="B72" s="29"/>
      <c r="C72" s="30"/>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A72" s="29"/>
      <c r="BB72" s="29"/>
      <c r="BC72" s="29"/>
      <c r="BD72" s="29" t="str">
        <f t="shared" si="0"/>
        <v/>
      </c>
      <c r="BE72" s="29"/>
      <c r="BF72" s="29"/>
      <c r="BG72" s="29"/>
      <c r="BH72" s="29"/>
    </row>
    <row r="73" spans="1:60" ht="14.25" customHeight="1" x14ac:dyDescent="0.3">
      <c r="A73" s="28"/>
      <c r="B73" s="29"/>
      <c r="C73" s="30"/>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c r="BD73" s="29" t="str">
        <f t="shared" si="0"/>
        <v/>
      </c>
      <c r="BE73" s="29"/>
      <c r="BF73" s="29"/>
      <c r="BG73" s="29"/>
      <c r="BH73" s="29"/>
    </row>
    <row r="74" spans="1:60" ht="14.25" customHeight="1" x14ac:dyDescent="0.3">
      <c r="A74" s="28"/>
      <c r="B74" s="29"/>
      <c r="C74" s="30"/>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c r="BD74" s="29" t="str">
        <f t="shared" si="0"/>
        <v/>
      </c>
      <c r="BE74" s="29"/>
      <c r="BF74" s="29"/>
      <c r="BG74" s="29"/>
      <c r="BH74" s="29"/>
    </row>
    <row r="75" spans="1:60" ht="14.25" customHeight="1" x14ac:dyDescent="0.3">
      <c r="A75" s="28"/>
      <c r="B75" s="29"/>
      <c r="C75" s="30"/>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A75" s="29"/>
      <c r="BB75" s="29"/>
      <c r="BC75" s="29"/>
      <c r="BD75" s="29" t="str">
        <f t="shared" si="0"/>
        <v/>
      </c>
      <c r="BE75" s="29"/>
      <c r="BF75" s="29"/>
      <c r="BG75" s="29"/>
      <c r="BH75" s="29"/>
    </row>
    <row r="76" spans="1:60" ht="14.25" customHeight="1" x14ac:dyDescent="0.3">
      <c r="A76" s="28"/>
      <c r="B76" s="29"/>
      <c r="C76" s="30"/>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t="str">
        <f t="shared" si="0"/>
        <v/>
      </c>
      <c r="BE76" s="29"/>
      <c r="BF76" s="29"/>
      <c r="BG76" s="29"/>
      <c r="BH76" s="29"/>
    </row>
    <row r="77" spans="1:60" ht="14.25" customHeight="1" x14ac:dyDescent="0.3">
      <c r="A77" s="28"/>
      <c r="B77" s="29"/>
      <c r="C77" s="30"/>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t="str">
        <f t="shared" si="0"/>
        <v/>
      </c>
      <c r="BE77" s="29"/>
      <c r="BF77" s="29"/>
      <c r="BG77" s="29"/>
      <c r="BH77" s="29"/>
    </row>
    <row r="78" spans="1:60" ht="14.25" customHeight="1" x14ac:dyDescent="0.3">
      <c r="A78" s="28"/>
      <c r="B78" s="29"/>
      <c r="C78" s="30"/>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A78" s="29"/>
      <c r="BB78" s="29"/>
      <c r="BC78" s="29"/>
      <c r="BD78" s="29" t="str">
        <f t="shared" si="0"/>
        <v/>
      </c>
      <c r="BE78" s="29"/>
      <c r="BF78" s="29"/>
      <c r="BG78" s="29"/>
      <c r="BH78" s="29"/>
    </row>
    <row r="79" spans="1:60" ht="14.25" customHeight="1" x14ac:dyDescent="0.3">
      <c r="A79" s="28"/>
      <c r="B79" s="29"/>
      <c r="C79" s="30"/>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c r="BC79" s="29"/>
      <c r="BD79" s="29" t="str">
        <f t="shared" si="0"/>
        <v/>
      </c>
      <c r="BE79" s="29"/>
      <c r="BF79" s="29"/>
      <c r="BG79" s="29"/>
      <c r="BH79" s="29"/>
    </row>
    <row r="80" spans="1:60" ht="14.25" customHeight="1" x14ac:dyDescent="0.3">
      <c r="A80" s="28"/>
      <c r="B80" s="29"/>
      <c r="C80" s="30"/>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t="str">
        <f t="shared" si="0"/>
        <v/>
      </c>
      <c r="BE80" s="29"/>
      <c r="BF80" s="29"/>
      <c r="BG80" s="29"/>
      <c r="BH80" s="29"/>
    </row>
    <row r="81" spans="1:60" ht="14.25" customHeight="1" x14ac:dyDescent="0.3">
      <c r="A81" s="28"/>
      <c r="B81" s="29"/>
      <c r="C81" s="30"/>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t="str">
        <f t="shared" si="0"/>
        <v/>
      </c>
      <c r="BE81" s="29"/>
      <c r="BF81" s="29"/>
      <c r="BG81" s="29"/>
      <c r="BH81" s="29"/>
    </row>
    <row r="82" spans="1:60" ht="14.25" customHeight="1" x14ac:dyDescent="0.3">
      <c r="A82" s="28"/>
      <c r="B82" s="29"/>
      <c r="C82" s="30"/>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t="str">
        <f t="shared" si="0"/>
        <v/>
      </c>
      <c r="BE82" s="29"/>
      <c r="BF82" s="29"/>
      <c r="BG82" s="29"/>
      <c r="BH82" s="29"/>
    </row>
    <row r="83" spans="1:60" ht="14.25" customHeight="1" x14ac:dyDescent="0.3">
      <c r="A83" s="28"/>
      <c r="B83" s="29"/>
      <c r="C83" s="30"/>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t="str">
        <f t="shared" si="0"/>
        <v/>
      </c>
      <c r="BE83" s="29"/>
      <c r="BF83" s="29"/>
      <c r="BG83" s="29"/>
      <c r="BH83" s="29"/>
    </row>
    <row r="84" spans="1:60" ht="14.25" customHeight="1" x14ac:dyDescent="0.3">
      <c r="A84" s="28"/>
      <c r="B84" s="29"/>
      <c r="C84" s="30"/>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t="str">
        <f t="shared" si="0"/>
        <v/>
      </c>
      <c r="BE84" s="29"/>
      <c r="BF84" s="29"/>
      <c r="BG84" s="29"/>
      <c r="BH84" s="29"/>
    </row>
    <row r="85" spans="1:60" ht="14.25" customHeight="1" x14ac:dyDescent="0.3">
      <c r="A85" s="28"/>
      <c r="B85" s="29"/>
      <c r="C85" s="30"/>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A85" s="29"/>
      <c r="BB85" s="29"/>
      <c r="BC85" s="29"/>
      <c r="BD85" s="29" t="str">
        <f t="shared" si="0"/>
        <v/>
      </c>
      <c r="BE85" s="29"/>
      <c r="BF85" s="29"/>
      <c r="BG85" s="29"/>
      <c r="BH85" s="29"/>
    </row>
    <row r="86" spans="1:60" ht="14.25" customHeight="1" x14ac:dyDescent="0.3">
      <c r="A86" s="28"/>
      <c r="B86" s="29"/>
      <c r="C86" s="30"/>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c r="BC86" s="29"/>
      <c r="BD86" s="29" t="str">
        <f t="shared" si="0"/>
        <v/>
      </c>
      <c r="BE86" s="29"/>
      <c r="BF86" s="29"/>
      <c r="BG86" s="29"/>
      <c r="BH86" s="29"/>
    </row>
    <row r="87" spans="1:60" ht="14.25" customHeight="1" x14ac:dyDescent="0.3">
      <c r="A87" s="28"/>
      <c r="B87" s="29"/>
      <c r="C87" s="30"/>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A87" s="29"/>
      <c r="BB87" s="29"/>
      <c r="BC87" s="29"/>
      <c r="BD87" s="29" t="str">
        <f t="shared" si="0"/>
        <v/>
      </c>
      <c r="BE87" s="29"/>
      <c r="BF87" s="29"/>
      <c r="BG87" s="29"/>
      <c r="BH87" s="29"/>
    </row>
    <row r="88" spans="1:60" ht="14.25" customHeight="1" x14ac:dyDescent="0.3">
      <c r="A88" s="28"/>
      <c r="B88" s="29"/>
      <c r="C88" s="30"/>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t="str">
        <f t="shared" si="0"/>
        <v/>
      </c>
      <c r="BE88" s="29"/>
      <c r="BF88" s="29"/>
      <c r="BG88" s="29"/>
      <c r="BH88" s="29"/>
    </row>
    <row r="89" spans="1:60" ht="14.25" customHeight="1" x14ac:dyDescent="0.3">
      <c r="A89" s="28"/>
      <c r="B89" s="29"/>
      <c r="C89" s="30"/>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t="str">
        <f t="shared" si="0"/>
        <v/>
      </c>
      <c r="BE89" s="29"/>
      <c r="BF89" s="29"/>
      <c r="BG89" s="29"/>
      <c r="BH89" s="29"/>
    </row>
    <row r="90" spans="1:60" ht="14.25" customHeight="1" x14ac:dyDescent="0.3">
      <c r="A90" s="28"/>
      <c r="B90" s="29"/>
      <c r="C90" s="30"/>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t="str">
        <f t="shared" si="0"/>
        <v/>
      </c>
      <c r="BE90" s="29"/>
      <c r="BF90" s="29"/>
      <c r="BG90" s="29"/>
      <c r="BH90" s="29"/>
    </row>
    <row r="91" spans="1:60" ht="14.25" customHeight="1" x14ac:dyDescent="0.3">
      <c r="A91" s="28"/>
      <c r="B91" s="29"/>
      <c r="C91" s="30"/>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t="str">
        <f t="shared" si="0"/>
        <v/>
      </c>
      <c r="BE91" s="29"/>
      <c r="BF91" s="29"/>
      <c r="BG91" s="29"/>
      <c r="BH91" s="29"/>
    </row>
    <row r="92" spans="1:60" ht="14.25" customHeight="1" x14ac:dyDescent="0.3">
      <c r="A92" s="28"/>
      <c r="B92" s="29"/>
      <c r="C92" s="30"/>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t="str">
        <f t="shared" si="0"/>
        <v/>
      </c>
      <c r="BE92" s="29"/>
      <c r="BF92" s="29"/>
      <c r="BG92" s="29"/>
      <c r="BH92" s="29"/>
    </row>
    <row r="93" spans="1:60" ht="14.25" customHeight="1" x14ac:dyDescent="0.3">
      <c r="A93" s="28"/>
      <c r="B93" s="29"/>
      <c r="C93" s="30"/>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t="str">
        <f t="shared" si="0"/>
        <v/>
      </c>
      <c r="BE93" s="29"/>
      <c r="BF93" s="29"/>
      <c r="BG93" s="29"/>
      <c r="BH93" s="29"/>
    </row>
    <row r="94" spans="1:60" ht="14.25" customHeight="1" x14ac:dyDescent="0.3">
      <c r="A94" s="28"/>
      <c r="B94" s="29"/>
      <c r="C94" s="30"/>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t="str">
        <f t="shared" si="0"/>
        <v/>
      </c>
      <c r="BE94" s="29"/>
      <c r="BF94" s="29"/>
      <c r="BG94" s="29"/>
      <c r="BH94" s="29"/>
    </row>
    <row r="95" spans="1:60" ht="14.25" customHeight="1" x14ac:dyDescent="0.3">
      <c r="A95" s="28"/>
      <c r="B95" s="29"/>
      <c r="C95" s="30"/>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t="str">
        <f t="shared" si="0"/>
        <v/>
      </c>
      <c r="BE95" s="29"/>
      <c r="BF95" s="29"/>
      <c r="BG95" s="29"/>
      <c r="BH95" s="29"/>
    </row>
    <row r="96" spans="1:60" ht="14.25" customHeight="1" x14ac:dyDescent="0.3">
      <c r="A96" s="28"/>
      <c r="B96" s="29"/>
      <c r="C96" s="30"/>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t="str">
        <f t="shared" si="0"/>
        <v/>
      </c>
      <c r="BE96" s="29"/>
      <c r="BF96" s="29"/>
      <c r="BG96" s="29"/>
      <c r="BH96" s="29"/>
    </row>
    <row r="97" spans="1:60" ht="14.25" customHeight="1" x14ac:dyDescent="0.3">
      <c r="A97" s="28"/>
      <c r="B97" s="29"/>
      <c r="C97" s="30"/>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c r="BC97" s="29"/>
      <c r="BD97" s="29" t="str">
        <f t="shared" si="0"/>
        <v/>
      </c>
      <c r="BE97" s="29"/>
      <c r="BF97" s="29"/>
      <c r="BG97" s="29"/>
      <c r="BH97" s="29"/>
    </row>
    <row r="98" spans="1:60" ht="14.25" customHeight="1" x14ac:dyDescent="0.3">
      <c r="A98" s="28"/>
      <c r="B98" s="29"/>
      <c r="C98" s="30"/>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B98" s="29"/>
      <c r="BC98" s="29"/>
      <c r="BD98" s="29" t="str">
        <f t="shared" si="0"/>
        <v/>
      </c>
      <c r="BE98" s="29"/>
      <c r="BF98" s="29"/>
      <c r="BG98" s="29"/>
      <c r="BH98" s="29"/>
    </row>
    <row r="99" spans="1:60" ht="14.25" customHeight="1" x14ac:dyDescent="0.3">
      <c r="A99" s="28"/>
      <c r="B99" s="29"/>
      <c r="C99" s="30"/>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c r="AX99" s="29"/>
      <c r="AY99" s="29"/>
      <c r="AZ99" s="29"/>
      <c r="BA99" s="29"/>
      <c r="BB99" s="29"/>
      <c r="BC99" s="29"/>
      <c r="BD99" s="29" t="str">
        <f t="shared" si="0"/>
        <v/>
      </c>
      <c r="BE99" s="29"/>
      <c r="BF99" s="29"/>
      <c r="BG99" s="29"/>
      <c r="BH99" s="29"/>
    </row>
    <row r="100" spans="1:60" ht="14.25" customHeight="1" x14ac:dyDescent="0.3">
      <c r="A100" s="28"/>
      <c r="B100" s="29"/>
      <c r="C100" s="30"/>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c r="BE100" s="29"/>
      <c r="BF100" s="29"/>
      <c r="BG100" s="29"/>
      <c r="BH100" s="29"/>
    </row>
    <row r="101" spans="1:60" ht="14.25" customHeight="1" x14ac:dyDescent="0.3">
      <c r="A101" s="28"/>
      <c r="B101" s="29"/>
      <c r="C101" s="30"/>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c r="BG101" s="29"/>
      <c r="BH101" s="29"/>
    </row>
    <row r="102" spans="1:60" ht="14.25" customHeight="1" x14ac:dyDescent="0.3">
      <c r="A102" s="28"/>
      <c r="B102" s="29"/>
      <c r="C102" s="30"/>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c r="BB102" s="29"/>
      <c r="BC102" s="29"/>
      <c r="BD102" s="29"/>
      <c r="BE102" s="29"/>
      <c r="BF102" s="29"/>
      <c r="BG102" s="29"/>
      <c r="BH102" s="29"/>
    </row>
    <row r="103" spans="1:60" ht="14.25" customHeight="1" x14ac:dyDescent="0.3">
      <c r="A103" s="28"/>
      <c r="B103" s="29"/>
      <c r="C103" s="30"/>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c r="BB103" s="29"/>
      <c r="BC103" s="29"/>
      <c r="BD103" s="29"/>
      <c r="BE103" s="29"/>
      <c r="BF103" s="29"/>
      <c r="BG103" s="29"/>
      <c r="BH103" s="29"/>
    </row>
    <row r="104" spans="1:60" ht="14.25" customHeight="1" x14ac:dyDescent="0.3">
      <c r="A104" s="28"/>
      <c r="B104" s="29"/>
      <c r="C104" s="30"/>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c r="BC104" s="29"/>
      <c r="BD104" s="29"/>
      <c r="BE104" s="29"/>
      <c r="BF104" s="29"/>
      <c r="BG104" s="29"/>
      <c r="BH104" s="29"/>
    </row>
    <row r="105" spans="1:60" ht="14.25" customHeight="1" x14ac:dyDescent="0.3">
      <c r="A105" s="28"/>
      <c r="B105" s="29"/>
      <c r="C105" s="30"/>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row>
    <row r="106" spans="1:60" ht="14.25" customHeight="1" x14ac:dyDescent="0.3">
      <c r="A106" s="28"/>
      <c r="B106" s="29"/>
      <c r="C106" s="30"/>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row>
    <row r="107" spans="1:60" ht="14.25" customHeight="1" x14ac:dyDescent="0.3">
      <c r="A107" s="28"/>
      <c r="B107" s="29"/>
      <c r="C107" s="30"/>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c r="BE107" s="29"/>
      <c r="BF107" s="29"/>
      <c r="BG107" s="29"/>
      <c r="BH107" s="29"/>
    </row>
    <row r="108" spans="1:60" ht="14.25" customHeight="1" x14ac:dyDescent="0.3">
      <c r="A108" s="28"/>
      <c r="B108" s="29"/>
      <c r="C108" s="30"/>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c r="BE108" s="29"/>
      <c r="BF108" s="29"/>
      <c r="BG108" s="29"/>
      <c r="BH108" s="29"/>
    </row>
    <row r="109" spans="1:60" ht="14.25" customHeight="1" x14ac:dyDescent="0.3">
      <c r="A109" s="28"/>
      <c r="B109" s="29"/>
      <c r="C109" s="30"/>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29"/>
      <c r="BC109" s="29"/>
      <c r="BD109" s="29"/>
      <c r="BE109" s="29"/>
      <c r="BF109" s="29"/>
      <c r="BG109" s="29"/>
      <c r="BH109" s="29"/>
    </row>
    <row r="110" spans="1:60" ht="14.25" customHeight="1" x14ac:dyDescent="0.3">
      <c r="A110" s="28"/>
      <c r="B110" s="29"/>
      <c r="C110" s="30"/>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c r="BC110" s="29"/>
      <c r="BD110" s="29"/>
      <c r="BE110" s="29"/>
      <c r="BF110" s="29"/>
      <c r="BG110" s="29"/>
      <c r="BH110" s="29"/>
    </row>
    <row r="111" spans="1:60" ht="14.25" customHeight="1" x14ac:dyDescent="0.3">
      <c r="A111" s="28"/>
      <c r="B111" s="29"/>
      <c r="C111" s="30"/>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c r="BE111" s="29"/>
      <c r="BF111" s="29"/>
      <c r="BG111" s="29"/>
      <c r="BH111" s="29"/>
    </row>
    <row r="112" spans="1:60" ht="14.25" customHeight="1" x14ac:dyDescent="0.3">
      <c r="A112" s="28"/>
      <c r="B112" s="29"/>
      <c r="C112" s="30"/>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c r="AV112" s="29"/>
      <c r="AW112" s="29"/>
      <c r="AX112" s="29"/>
      <c r="AY112" s="29"/>
      <c r="AZ112" s="29"/>
      <c r="BA112" s="29"/>
      <c r="BB112" s="29"/>
      <c r="BC112" s="29"/>
      <c r="BD112" s="29"/>
      <c r="BE112" s="29"/>
      <c r="BF112" s="29"/>
      <c r="BG112" s="29"/>
      <c r="BH112" s="29"/>
    </row>
    <row r="113" spans="1:60" ht="14.25" customHeight="1" x14ac:dyDescent="0.3">
      <c r="A113" s="28"/>
      <c r="B113" s="29"/>
      <c r="C113" s="30"/>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c r="BC113" s="29"/>
      <c r="BD113" s="29"/>
      <c r="BE113" s="29"/>
      <c r="BF113" s="29"/>
      <c r="BG113" s="29"/>
      <c r="BH113" s="29"/>
    </row>
    <row r="114" spans="1:60" ht="14.25" customHeight="1" x14ac:dyDescent="0.3">
      <c r="A114" s="28"/>
      <c r="B114" s="29"/>
      <c r="C114" s="30"/>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row>
    <row r="115" spans="1:60" ht="14.25" customHeight="1" x14ac:dyDescent="0.3">
      <c r="A115" s="28"/>
      <c r="B115" s="29"/>
      <c r="C115" s="30"/>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29"/>
      <c r="BF115" s="29"/>
      <c r="BG115" s="29"/>
      <c r="BH115" s="29"/>
    </row>
    <row r="116" spans="1:60" ht="14.25" customHeight="1" x14ac:dyDescent="0.3">
      <c r="A116" s="28"/>
      <c r="B116" s="29"/>
      <c r="C116" s="30"/>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c r="BG116" s="29"/>
      <c r="BH116" s="29"/>
    </row>
    <row r="117" spans="1:60" ht="14.25" customHeight="1" x14ac:dyDescent="0.3">
      <c r="A117" s="28"/>
      <c r="B117" s="29"/>
      <c r="C117" s="30"/>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c r="AY117" s="29"/>
      <c r="AZ117" s="29"/>
      <c r="BA117" s="29"/>
      <c r="BB117" s="29"/>
      <c r="BC117" s="29"/>
      <c r="BD117" s="29"/>
      <c r="BE117" s="29"/>
      <c r="BF117" s="29"/>
      <c r="BG117" s="29"/>
      <c r="BH117" s="29"/>
    </row>
    <row r="118" spans="1:60" ht="14.25" customHeight="1" x14ac:dyDescent="0.3">
      <c r="A118" s="28"/>
      <c r="B118" s="29"/>
      <c r="C118" s="30"/>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c r="AX118" s="29"/>
      <c r="AY118" s="29"/>
      <c r="AZ118" s="29"/>
      <c r="BA118" s="29"/>
      <c r="BB118" s="29"/>
      <c r="BC118" s="29"/>
      <c r="BD118" s="29"/>
      <c r="BE118" s="29"/>
      <c r="BF118" s="29"/>
      <c r="BG118" s="29"/>
      <c r="BH118" s="29"/>
    </row>
    <row r="119" spans="1:60" ht="14.25" customHeight="1" x14ac:dyDescent="0.3">
      <c r="A119" s="28"/>
      <c r="B119" s="29"/>
      <c r="C119" s="30"/>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c r="BD119" s="29"/>
      <c r="BE119" s="29"/>
      <c r="BF119" s="29"/>
      <c r="BG119" s="29"/>
      <c r="BH119" s="29"/>
    </row>
    <row r="120" spans="1:60" ht="14.25" customHeight="1" x14ac:dyDescent="0.3">
      <c r="A120" s="28"/>
      <c r="B120" s="29"/>
      <c r="C120" s="30"/>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c r="BC120" s="29"/>
      <c r="BD120" s="29"/>
      <c r="BE120" s="29"/>
      <c r="BF120" s="29"/>
      <c r="BG120" s="29"/>
      <c r="BH120" s="29"/>
    </row>
    <row r="121" spans="1:60" ht="14.25" customHeight="1" x14ac:dyDescent="0.3">
      <c r="A121" s="28"/>
      <c r="B121" s="29"/>
      <c r="C121" s="30"/>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29"/>
      <c r="AX121" s="29"/>
      <c r="AY121" s="29"/>
      <c r="AZ121" s="29"/>
      <c r="BA121" s="29"/>
      <c r="BB121" s="29"/>
      <c r="BC121" s="29"/>
      <c r="BD121" s="29"/>
      <c r="BE121" s="29"/>
      <c r="BF121" s="29"/>
      <c r="BG121" s="29"/>
      <c r="BH121" s="29"/>
    </row>
    <row r="122" spans="1:60" ht="14.25" customHeight="1" x14ac:dyDescent="0.3">
      <c r="A122" s="28"/>
      <c r="B122" s="29"/>
      <c r="C122" s="30"/>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c r="AV122" s="29"/>
      <c r="AW122" s="29"/>
      <c r="AX122" s="29"/>
      <c r="AY122" s="29"/>
      <c r="AZ122" s="29"/>
      <c r="BA122" s="29"/>
      <c r="BB122" s="29"/>
      <c r="BC122" s="29"/>
      <c r="BD122" s="29"/>
      <c r="BE122" s="29"/>
      <c r="BF122" s="29"/>
      <c r="BG122" s="29"/>
      <c r="BH122" s="29"/>
    </row>
    <row r="123" spans="1:60" ht="14.25" customHeight="1" x14ac:dyDescent="0.3">
      <c r="A123" s="28"/>
      <c r="B123" s="29"/>
      <c r="C123" s="30"/>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row>
    <row r="124" spans="1:60" ht="14.25" customHeight="1" x14ac:dyDescent="0.3">
      <c r="A124" s="28"/>
      <c r="B124" s="29"/>
      <c r="C124" s="30"/>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c r="AX124" s="29"/>
      <c r="AY124" s="29"/>
      <c r="AZ124" s="29"/>
      <c r="BA124" s="29"/>
      <c r="BB124" s="29"/>
      <c r="BC124" s="29"/>
      <c r="BD124" s="29"/>
      <c r="BE124" s="29"/>
      <c r="BF124" s="29"/>
      <c r="BG124" s="29"/>
      <c r="BH124" s="29"/>
    </row>
    <row r="125" spans="1:60" ht="14.25" customHeight="1" x14ac:dyDescent="0.3">
      <c r="A125" s="28"/>
      <c r="B125" s="29"/>
      <c r="C125" s="30"/>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c r="BC125" s="29"/>
      <c r="BD125" s="29"/>
      <c r="BE125" s="29"/>
      <c r="BF125" s="29"/>
      <c r="BG125" s="29"/>
      <c r="BH125" s="29"/>
    </row>
    <row r="126" spans="1:60" ht="14.25" customHeight="1" x14ac:dyDescent="0.3">
      <c r="A126" s="28"/>
      <c r="B126" s="29"/>
      <c r="C126" s="30"/>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c r="BC126" s="29"/>
      <c r="BD126" s="29"/>
      <c r="BE126" s="29"/>
      <c r="BF126" s="29"/>
      <c r="BG126" s="29"/>
      <c r="BH126" s="29"/>
    </row>
    <row r="127" spans="1:60" ht="14.25" customHeight="1" x14ac:dyDescent="0.3">
      <c r="A127" s="28"/>
      <c r="B127" s="29"/>
      <c r="C127" s="30"/>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29"/>
      <c r="AX127" s="29"/>
      <c r="AY127" s="29"/>
      <c r="AZ127" s="29"/>
      <c r="BA127" s="29"/>
      <c r="BB127" s="29"/>
      <c r="BC127" s="29"/>
      <c r="BD127" s="29"/>
      <c r="BE127" s="29"/>
      <c r="BF127" s="29"/>
      <c r="BG127" s="29"/>
      <c r="BH127" s="29"/>
    </row>
    <row r="128" spans="1:60" ht="14.25" customHeight="1" x14ac:dyDescent="0.3">
      <c r="A128" s="28"/>
      <c r="B128" s="29"/>
      <c r="C128" s="30"/>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29"/>
      <c r="AY128" s="29"/>
      <c r="AZ128" s="29"/>
      <c r="BA128" s="29"/>
      <c r="BB128" s="29"/>
      <c r="BC128" s="29"/>
      <c r="BD128" s="29"/>
      <c r="BE128" s="29"/>
      <c r="BF128" s="29"/>
      <c r="BG128" s="29"/>
      <c r="BH128" s="29"/>
    </row>
    <row r="129" spans="1:60" ht="14.25" customHeight="1" x14ac:dyDescent="0.3">
      <c r="A129" s="28"/>
      <c r="B129" s="29"/>
      <c r="C129" s="30"/>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c r="AV129" s="29"/>
      <c r="AW129" s="29"/>
      <c r="AX129" s="29"/>
      <c r="AY129" s="29"/>
      <c r="AZ129" s="29"/>
      <c r="BA129" s="29"/>
      <c r="BB129" s="29"/>
      <c r="BC129" s="29"/>
      <c r="BD129" s="29"/>
      <c r="BE129" s="29"/>
      <c r="BF129" s="29"/>
      <c r="BG129" s="29"/>
      <c r="BH129" s="29"/>
    </row>
    <row r="130" spans="1:60" ht="14.25" customHeight="1" x14ac:dyDescent="0.3">
      <c r="A130" s="28"/>
      <c r="B130" s="29"/>
      <c r="C130" s="30"/>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c r="AV130" s="29"/>
      <c r="AW130" s="29"/>
      <c r="AX130" s="29"/>
      <c r="AY130" s="29"/>
      <c r="AZ130" s="29"/>
      <c r="BA130" s="29"/>
      <c r="BB130" s="29"/>
      <c r="BC130" s="29"/>
      <c r="BD130" s="29"/>
      <c r="BE130" s="29"/>
      <c r="BF130" s="29"/>
      <c r="BG130" s="29"/>
      <c r="BH130" s="29"/>
    </row>
    <row r="131" spans="1:60" ht="14.25" customHeight="1" x14ac:dyDescent="0.3">
      <c r="A131" s="28"/>
      <c r="B131" s="29"/>
      <c r="C131" s="30"/>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c r="BG131" s="29"/>
      <c r="BH131" s="29"/>
    </row>
    <row r="132" spans="1:60" ht="14.25" customHeight="1" x14ac:dyDescent="0.3">
      <c r="A132" s="28"/>
      <c r="B132" s="29"/>
      <c r="C132" s="30"/>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29"/>
      <c r="AY132" s="29"/>
      <c r="AZ132" s="29"/>
      <c r="BA132" s="29"/>
      <c r="BB132" s="29"/>
      <c r="BC132" s="29"/>
      <c r="BD132" s="29"/>
      <c r="BE132" s="29"/>
      <c r="BF132" s="29"/>
      <c r="BG132" s="29"/>
      <c r="BH132" s="29"/>
    </row>
    <row r="133" spans="1:60" ht="14.25" customHeight="1" x14ac:dyDescent="0.3">
      <c r="A133" s="28"/>
      <c r="B133" s="29"/>
      <c r="C133" s="30"/>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c r="AV133" s="29"/>
      <c r="AW133" s="29"/>
      <c r="AX133" s="29"/>
      <c r="AY133" s="29"/>
      <c r="AZ133" s="29"/>
      <c r="BA133" s="29"/>
      <c r="BB133" s="29"/>
      <c r="BC133" s="29"/>
      <c r="BD133" s="29"/>
      <c r="BE133" s="29"/>
      <c r="BF133" s="29"/>
      <c r="BG133" s="29"/>
      <c r="BH133" s="29"/>
    </row>
    <row r="134" spans="1:60" ht="14.25" customHeight="1" x14ac:dyDescent="0.3">
      <c r="A134" s="28"/>
      <c r="B134" s="29"/>
      <c r="C134" s="30"/>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29"/>
      <c r="AX134" s="29"/>
      <c r="AY134" s="29"/>
      <c r="AZ134" s="29"/>
      <c r="BA134" s="29"/>
      <c r="BB134" s="29"/>
      <c r="BC134" s="29"/>
      <c r="BD134" s="29"/>
      <c r="BE134" s="29"/>
      <c r="BF134" s="29"/>
      <c r="BG134" s="29"/>
      <c r="BH134" s="29"/>
    </row>
    <row r="135" spans="1:60" ht="14.25" customHeight="1" x14ac:dyDescent="0.3">
      <c r="A135" s="28"/>
      <c r="B135" s="29"/>
      <c r="C135" s="30"/>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29"/>
      <c r="AX135" s="29"/>
      <c r="AY135" s="29"/>
      <c r="AZ135" s="29"/>
      <c r="BA135" s="29"/>
      <c r="BB135" s="29"/>
      <c r="BC135" s="29"/>
      <c r="BD135" s="29"/>
      <c r="BE135" s="29"/>
      <c r="BF135" s="29"/>
      <c r="BG135" s="29"/>
      <c r="BH135" s="29"/>
    </row>
    <row r="136" spans="1:60" ht="14.25" customHeight="1" x14ac:dyDescent="0.3">
      <c r="A136" s="28"/>
      <c r="B136" s="29"/>
      <c r="C136" s="30"/>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row>
    <row r="137" spans="1:60" ht="14.25" customHeight="1" x14ac:dyDescent="0.3">
      <c r="A137" s="28"/>
      <c r="B137" s="29"/>
      <c r="C137" s="30"/>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row>
    <row r="138" spans="1:60" ht="14.25" customHeight="1" x14ac:dyDescent="0.3">
      <c r="A138" s="28"/>
      <c r="B138" s="29"/>
      <c r="C138" s="30"/>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row>
    <row r="139" spans="1:60" ht="14.25" customHeight="1" x14ac:dyDescent="0.3">
      <c r="A139" s="28"/>
      <c r="B139" s="29"/>
      <c r="C139" s="30"/>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row>
    <row r="140" spans="1:60" ht="14.25" customHeight="1" x14ac:dyDescent="0.3">
      <c r="A140" s="28"/>
      <c r="B140" s="29"/>
      <c r="C140" s="30"/>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row>
    <row r="141" spans="1:60" ht="14.25" customHeight="1" x14ac:dyDescent="0.3">
      <c r="A141" s="28"/>
      <c r="B141" s="29"/>
      <c r="C141" s="30"/>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row>
    <row r="142" spans="1:60" ht="14.25" customHeight="1" x14ac:dyDescent="0.3">
      <c r="A142" s="28"/>
      <c r="B142" s="29"/>
      <c r="C142" s="30"/>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row>
    <row r="143" spans="1:60" ht="14.25" customHeight="1" x14ac:dyDescent="0.3">
      <c r="A143" s="28"/>
      <c r="B143" s="29"/>
      <c r="C143" s="30"/>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c r="BG143" s="29"/>
      <c r="BH143" s="29"/>
    </row>
    <row r="144" spans="1:60" ht="14.25" customHeight="1" x14ac:dyDescent="0.3">
      <c r="A144" s="28"/>
      <c r="B144" s="29"/>
      <c r="C144" s="30"/>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row>
    <row r="145" spans="1:60" ht="14.25" customHeight="1" x14ac:dyDescent="0.3">
      <c r="A145" s="28"/>
      <c r="B145" s="29"/>
      <c r="C145" s="30"/>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c r="BG145" s="29"/>
      <c r="BH145" s="29"/>
    </row>
    <row r="146" spans="1:60" ht="14.25" customHeight="1" x14ac:dyDescent="0.3">
      <c r="A146" s="28"/>
      <c r="B146" s="29"/>
      <c r="C146" s="30"/>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c r="BH146" s="29"/>
    </row>
    <row r="147" spans="1:60" ht="14.25" customHeight="1" x14ac:dyDescent="0.3">
      <c r="A147" s="28"/>
      <c r="B147" s="29"/>
      <c r="C147" s="30"/>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row>
    <row r="148" spans="1:60" ht="14.25" customHeight="1" x14ac:dyDescent="0.3">
      <c r="A148" s="28"/>
      <c r="B148" s="29"/>
      <c r="C148" s="30"/>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row>
    <row r="149" spans="1:60" ht="14.25" customHeight="1" x14ac:dyDescent="0.3">
      <c r="A149" s="28"/>
      <c r="B149" s="29"/>
      <c r="C149" s="30"/>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row>
    <row r="150" spans="1:60" ht="14.25" customHeight="1" x14ac:dyDescent="0.3">
      <c r="A150" s="28"/>
      <c r="B150" s="29"/>
      <c r="C150" s="30"/>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row>
    <row r="151" spans="1:60" ht="14.25" customHeight="1" x14ac:dyDescent="0.3">
      <c r="A151" s="28"/>
      <c r="B151" s="29"/>
      <c r="C151" s="30"/>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row>
    <row r="152" spans="1:60" ht="14.25" customHeight="1" x14ac:dyDescent="0.3">
      <c r="A152" s="28"/>
      <c r="B152" s="29"/>
      <c r="C152" s="30"/>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row>
    <row r="153" spans="1:60" ht="14.25" customHeight="1" x14ac:dyDescent="0.3">
      <c r="A153" s="28"/>
      <c r="B153" s="29"/>
      <c r="C153" s="30"/>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c r="BH153" s="29"/>
    </row>
    <row r="154" spans="1:60" ht="14.25" customHeight="1" x14ac:dyDescent="0.3">
      <c r="A154" s="28"/>
      <c r="B154" s="29"/>
      <c r="C154" s="30"/>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c r="BG154" s="29"/>
      <c r="BH154" s="29"/>
    </row>
    <row r="155" spans="1:60" ht="14.25" customHeight="1" x14ac:dyDescent="0.3">
      <c r="A155" s="28"/>
      <c r="B155" s="29"/>
      <c r="C155" s="30"/>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row>
    <row r="156" spans="1:60" ht="14.25" customHeight="1" x14ac:dyDescent="0.3">
      <c r="A156" s="28"/>
      <c r="B156" s="29"/>
      <c r="C156" s="30"/>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row>
    <row r="157" spans="1:60" ht="14.25" customHeight="1" x14ac:dyDescent="0.3">
      <c r="A157" s="28"/>
      <c r="B157" s="29"/>
      <c r="C157" s="30"/>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row>
    <row r="158" spans="1:60" ht="14.25" customHeight="1" x14ac:dyDescent="0.3">
      <c r="A158" s="28"/>
      <c r="B158" s="29"/>
      <c r="C158" s="30"/>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row>
    <row r="159" spans="1:60" ht="14.25" customHeight="1" x14ac:dyDescent="0.3">
      <c r="A159" s="28"/>
      <c r="B159" s="29"/>
      <c r="C159" s="30"/>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row>
    <row r="160" spans="1:60" ht="14.25" customHeight="1" x14ac:dyDescent="0.3">
      <c r="A160" s="28"/>
      <c r="B160" s="29"/>
      <c r="C160" s="30"/>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row>
    <row r="161" spans="1:60" ht="14.25" customHeight="1" x14ac:dyDescent="0.3">
      <c r="A161" s="28"/>
      <c r="B161" s="29"/>
      <c r="C161" s="30"/>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row>
    <row r="162" spans="1:60" ht="14.25" customHeight="1" x14ac:dyDescent="0.3">
      <c r="A162" s="28"/>
      <c r="B162" s="29"/>
      <c r="C162" s="30"/>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c r="BG162" s="29"/>
      <c r="BH162" s="29"/>
    </row>
    <row r="163" spans="1:60" ht="14.25" customHeight="1" x14ac:dyDescent="0.3">
      <c r="A163" s="28"/>
      <c r="B163" s="29"/>
      <c r="C163" s="30"/>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c r="BG163" s="29"/>
      <c r="BH163" s="29"/>
    </row>
    <row r="164" spans="1:60" ht="14.25" customHeight="1" x14ac:dyDescent="0.3">
      <c r="A164" s="28"/>
      <c r="B164" s="29"/>
      <c r="C164" s="30"/>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c r="BE164" s="29"/>
      <c r="BF164" s="29"/>
      <c r="BG164" s="29"/>
      <c r="BH164" s="29"/>
    </row>
    <row r="165" spans="1:60" ht="14.25" customHeight="1" x14ac:dyDescent="0.3">
      <c r="A165" s="28"/>
      <c r="B165" s="29"/>
      <c r="C165" s="30"/>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row>
    <row r="166" spans="1:60" ht="14.25" customHeight="1" x14ac:dyDescent="0.3">
      <c r="A166" s="28"/>
      <c r="B166" s="29"/>
      <c r="C166" s="30"/>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c r="BG166" s="29"/>
      <c r="BH166" s="29"/>
    </row>
    <row r="167" spans="1:60" ht="14.25" customHeight="1" x14ac:dyDescent="0.3">
      <c r="A167" s="28"/>
      <c r="B167" s="29"/>
      <c r="C167" s="30"/>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c r="BG167" s="29"/>
      <c r="BH167" s="29"/>
    </row>
    <row r="168" spans="1:60" ht="14.25" customHeight="1" x14ac:dyDescent="0.3">
      <c r="A168" s="28"/>
      <c r="B168" s="29"/>
      <c r="C168" s="30"/>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c r="BG168" s="29"/>
      <c r="BH168" s="29"/>
    </row>
    <row r="169" spans="1:60" ht="14.25" customHeight="1" x14ac:dyDescent="0.3">
      <c r="A169" s="28"/>
      <c r="B169" s="29"/>
      <c r="C169" s="30"/>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9"/>
      <c r="BG169" s="29"/>
      <c r="BH169" s="29"/>
    </row>
    <row r="170" spans="1:60" ht="14.25" customHeight="1" x14ac:dyDescent="0.3">
      <c r="A170" s="28"/>
      <c r="B170" s="29"/>
      <c r="C170" s="30"/>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c r="BC170" s="29"/>
      <c r="BD170" s="29"/>
      <c r="BE170" s="29"/>
      <c r="BF170" s="29"/>
      <c r="BG170" s="29"/>
      <c r="BH170" s="29"/>
    </row>
    <row r="171" spans="1:60" ht="14.25" customHeight="1" x14ac:dyDescent="0.3">
      <c r="A171" s="28"/>
      <c r="B171" s="29"/>
      <c r="C171" s="30"/>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c r="BC171" s="29"/>
      <c r="BD171" s="29"/>
      <c r="BE171" s="29"/>
      <c r="BF171" s="29"/>
      <c r="BG171" s="29"/>
      <c r="BH171" s="29"/>
    </row>
    <row r="172" spans="1:60" ht="14.25" customHeight="1" x14ac:dyDescent="0.3">
      <c r="A172" s="28"/>
      <c r="B172" s="29"/>
      <c r="C172" s="30"/>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c r="BC172" s="29"/>
      <c r="BD172" s="29"/>
      <c r="BE172" s="29"/>
      <c r="BF172" s="29"/>
      <c r="BG172" s="29"/>
      <c r="BH172" s="29"/>
    </row>
    <row r="173" spans="1:60" ht="14.25" customHeight="1" x14ac:dyDescent="0.3">
      <c r="A173" s="28"/>
      <c r="B173" s="29"/>
      <c r="C173" s="30"/>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c r="BC173" s="29"/>
      <c r="BD173" s="29"/>
      <c r="BE173" s="29"/>
      <c r="BF173" s="29"/>
      <c r="BG173" s="29"/>
      <c r="BH173" s="29"/>
    </row>
    <row r="174" spans="1:60" ht="14.25" customHeight="1" x14ac:dyDescent="0.3">
      <c r="A174" s="28"/>
      <c r="B174" s="29"/>
      <c r="C174" s="30"/>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c r="BH174" s="29"/>
    </row>
    <row r="175" spans="1:60" ht="14.25" customHeight="1" x14ac:dyDescent="0.3">
      <c r="A175" s="28"/>
      <c r="B175" s="29"/>
      <c r="C175" s="30"/>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c r="BC175" s="29"/>
      <c r="BD175" s="29"/>
      <c r="BE175" s="29"/>
      <c r="BF175" s="29"/>
      <c r="BG175" s="29"/>
      <c r="BH175" s="29"/>
    </row>
    <row r="176" spans="1:60" ht="14.25" customHeight="1" x14ac:dyDescent="0.3">
      <c r="A176" s="28"/>
      <c r="B176" s="29"/>
      <c r="C176" s="30"/>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row>
    <row r="177" spans="1:60" ht="14.25" customHeight="1" x14ac:dyDescent="0.3">
      <c r="A177" s="28"/>
      <c r="B177" s="29"/>
      <c r="C177" s="30"/>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c r="BG177" s="29"/>
      <c r="BH177" s="29"/>
    </row>
    <row r="178" spans="1:60" ht="14.25" customHeight="1" x14ac:dyDescent="0.3">
      <c r="A178" s="28"/>
      <c r="B178" s="29"/>
      <c r="C178" s="30"/>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c r="BC178" s="29"/>
      <c r="BD178" s="29"/>
      <c r="BE178" s="29"/>
      <c r="BF178" s="29"/>
      <c r="BG178" s="29"/>
      <c r="BH178" s="29"/>
    </row>
    <row r="179" spans="1:60" ht="14.25" customHeight="1" x14ac:dyDescent="0.3">
      <c r="A179" s="28"/>
      <c r="B179" s="29"/>
      <c r="C179" s="30"/>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c r="BC179" s="29"/>
      <c r="BD179" s="29"/>
      <c r="BE179" s="29"/>
      <c r="BF179" s="29"/>
      <c r="BG179" s="29"/>
      <c r="BH179" s="29"/>
    </row>
    <row r="180" spans="1:60" ht="14.25" customHeight="1" x14ac:dyDescent="0.3">
      <c r="A180" s="28"/>
      <c r="B180" s="29"/>
      <c r="C180" s="30"/>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c r="BC180" s="29"/>
      <c r="BD180" s="29"/>
      <c r="BE180" s="29"/>
      <c r="BF180" s="29"/>
      <c r="BG180" s="29"/>
      <c r="BH180" s="29"/>
    </row>
    <row r="181" spans="1:60" ht="14.25" customHeight="1" x14ac:dyDescent="0.3">
      <c r="A181" s="28"/>
      <c r="B181" s="29"/>
      <c r="C181" s="30"/>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c r="BC181" s="29"/>
      <c r="BD181" s="29"/>
      <c r="BE181" s="29"/>
      <c r="BF181" s="29"/>
      <c r="BG181" s="29"/>
      <c r="BH181" s="29"/>
    </row>
    <row r="182" spans="1:60" ht="14.25" customHeight="1" x14ac:dyDescent="0.3">
      <c r="A182" s="28"/>
      <c r="B182" s="29"/>
      <c r="C182" s="30"/>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c r="BC182" s="29"/>
      <c r="BD182" s="29"/>
      <c r="BE182" s="29"/>
      <c r="BF182" s="29"/>
      <c r="BG182" s="29"/>
      <c r="BH182" s="29"/>
    </row>
    <row r="183" spans="1:60" ht="14.25" customHeight="1" x14ac:dyDescent="0.3">
      <c r="A183" s="28"/>
      <c r="B183" s="29"/>
      <c r="C183" s="30"/>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c r="BC183" s="29"/>
      <c r="BD183" s="29"/>
      <c r="BE183" s="29"/>
      <c r="BF183" s="29"/>
      <c r="BG183" s="29"/>
      <c r="BH183" s="29"/>
    </row>
    <row r="184" spans="1:60" ht="14.25" customHeight="1" x14ac:dyDescent="0.3">
      <c r="A184" s="28"/>
      <c r="B184" s="29"/>
      <c r="C184" s="30"/>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c r="BC184" s="29"/>
      <c r="BD184" s="29"/>
      <c r="BE184" s="29"/>
      <c r="BF184" s="29"/>
      <c r="BG184" s="29"/>
      <c r="BH184" s="29"/>
    </row>
    <row r="185" spans="1:60" ht="14.25" customHeight="1" x14ac:dyDescent="0.3">
      <c r="A185" s="28"/>
      <c r="B185" s="29"/>
      <c r="C185" s="30"/>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c r="BC185" s="29"/>
      <c r="BD185" s="29"/>
      <c r="BE185" s="29"/>
      <c r="BF185" s="29"/>
      <c r="BG185" s="29"/>
      <c r="BH185" s="29"/>
    </row>
    <row r="186" spans="1:60" ht="14.25" customHeight="1" x14ac:dyDescent="0.3">
      <c r="A186" s="28"/>
      <c r="B186" s="29"/>
      <c r="C186" s="30"/>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row>
    <row r="187" spans="1:60" ht="14.25" customHeight="1" x14ac:dyDescent="0.3">
      <c r="A187" s="28"/>
      <c r="B187" s="29"/>
      <c r="C187" s="30"/>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row>
    <row r="188" spans="1:60" ht="14.25" customHeight="1" x14ac:dyDescent="0.3">
      <c r="A188" s="28"/>
      <c r="B188" s="29"/>
      <c r="C188" s="30"/>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c r="BC188" s="29"/>
      <c r="BD188" s="29"/>
      <c r="BE188" s="29"/>
      <c r="BF188" s="29"/>
      <c r="BG188" s="29"/>
      <c r="BH188" s="29"/>
    </row>
    <row r="189" spans="1:60" ht="14.25" customHeight="1" x14ac:dyDescent="0.3">
      <c r="A189" s="28"/>
      <c r="B189" s="29"/>
      <c r="C189" s="30"/>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c r="BC189" s="29"/>
      <c r="BD189" s="29"/>
      <c r="BE189" s="29"/>
      <c r="BF189" s="29"/>
      <c r="BG189" s="29"/>
      <c r="BH189" s="29"/>
    </row>
    <row r="190" spans="1:60" ht="14.25" customHeight="1" x14ac:dyDescent="0.3">
      <c r="A190" s="28"/>
      <c r="B190" s="29"/>
      <c r="C190" s="30"/>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c r="BG190" s="29"/>
      <c r="BH190" s="29"/>
    </row>
    <row r="191" spans="1:60" ht="14.25" customHeight="1" x14ac:dyDescent="0.3">
      <c r="A191" s="28"/>
      <c r="B191" s="29"/>
      <c r="C191" s="30"/>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c r="BC191" s="29"/>
      <c r="BD191" s="29"/>
      <c r="BE191" s="29"/>
      <c r="BF191" s="29"/>
      <c r="BG191" s="29"/>
      <c r="BH191" s="29"/>
    </row>
    <row r="192" spans="1:60" ht="14.25" customHeight="1" x14ac:dyDescent="0.3">
      <c r="A192" s="28"/>
      <c r="B192" s="29"/>
      <c r="C192" s="30"/>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c r="BG192" s="29"/>
      <c r="BH192" s="29"/>
    </row>
    <row r="193" spans="1:60" ht="14.25" customHeight="1" x14ac:dyDescent="0.3">
      <c r="A193" s="28"/>
      <c r="B193" s="29"/>
      <c r="C193" s="30"/>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c r="BE193" s="29"/>
      <c r="BF193" s="29"/>
      <c r="BG193" s="29"/>
      <c r="BH193" s="29"/>
    </row>
    <row r="194" spans="1:60" ht="14.25" customHeight="1" x14ac:dyDescent="0.3">
      <c r="A194" s="28"/>
      <c r="B194" s="29"/>
      <c r="C194" s="30"/>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c r="BE194" s="29"/>
      <c r="BF194" s="29"/>
      <c r="BG194" s="29"/>
      <c r="BH194" s="29"/>
    </row>
    <row r="195" spans="1:60" ht="14.25" customHeight="1" x14ac:dyDescent="0.3">
      <c r="A195" s="28"/>
      <c r="B195" s="29"/>
      <c r="C195" s="30"/>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row>
    <row r="196" spans="1:60" ht="14.25" customHeight="1" x14ac:dyDescent="0.3">
      <c r="A196" s="28"/>
      <c r="B196" s="29"/>
      <c r="C196" s="30"/>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row>
    <row r="197" spans="1:60" ht="14.25" customHeight="1" x14ac:dyDescent="0.3">
      <c r="A197" s="28"/>
      <c r="B197" s="29"/>
      <c r="C197" s="30"/>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c r="BE197" s="29"/>
      <c r="BF197" s="29"/>
      <c r="BG197" s="29"/>
      <c r="BH197" s="29"/>
    </row>
    <row r="198" spans="1:60" ht="14.25" customHeight="1" x14ac:dyDescent="0.3">
      <c r="A198" s="28"/>
      <c r="B198" s="29"/>
      <c r="C198" s="30"/>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c r="BE198" s="29"/>
      <c r="BF198" s="29"/>
      <c r="BG198" s="29"/>
      <c r="BH198" s="29"/>
    </row>
    <row r="199" spans="1:60" ht="14.25" customHeight="1" x14ac:dyDescent="0.3">
      <c r="A199" s="28"/>
      <c r="B199" s="29"/>
      <c r="C199" s="30"/>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c r="BH199" s="29"/>
    </row>
    <row r="200" spans="1:60" ht="14.25" customHeight="1" x14ac:dyDescent="0.3">
      <c r="A200" s="28"/>
      <c r="B200" s="29"/>
      <c r="C200" s="30"/>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c r="BG200" s="29"/>
      <c r="BH200" s="29"/>
    </row>
    <row r="201" spans="1:60" ht="14.25" customHeight="1" x14ac:dyDescent="0.3">
      <c r="A201" s="28"/>
      <c r="B201" s="29"/>
      <c r="C201" s="30"/>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c r="BG201" s="29"/>
      <c r="BH201" s="29"/>
    </row>
    <row r="202" spans="1:60" ht="14.25" customHeight="1" x14ac:dyDescent="0.3">
      <c r="A202" s="28"/>
      <c r="B202" s="29"/>
      <c r="C202" s="30"/>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c r="AV202" s="29"/>
      <c r="AW202" s="29"/>
      <c r="AX202" s="29"/>
      <c r="AY202" s="29"/>
      <c r="AZ202" s="29"/>
      <c r="BA202" s="29"/>
      <c r="BB202" s="29"/>
      <c r="BC202" s="29"/>
      <c r="BD202" s="29"/>
      <c r="BE202" s="29"/>
      <c r="BF202" s="29"/>
      <c r="BG202" s="29"/>
      <c r="BH202" s="29"/>
    </row>
    <row r="203" spans="1:60" ht="14.25" customHeight="1" x14ac:dyDescent="0.3">
      <c r="A203" s="28"/>
      <c r="B203" s="29"/>
      <c r="C203" s="30"/>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c r="AX203" s="29"/>
      <c r="AY203" s="29"/>
      <c r="AZ203" s="29"/>
      <c r="BA203" s="29"/>
      <c r="BB203" s="29"/>
      <c r="BC203" s="29"/>
      <c r="BD203" s="29"/>
      <c r="BE203" s="29"/>
      <c r="BF203" s="29"/>
      <c r="BG203" s="29"/>
      <c r="BH203" s="29"/>
    </row>
    <row r="204" spans="1:60" ht="14.25" customHeight="1" x14ac:dyDescent="0.3">
      <c r="A204" s="28"/>
      <c r="B204" s="29"/>
      <c r="C204" s="30"/>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c r="AV204" s="29"/>
      <c r="AW204" s="29"/>
      <c r="AX204" s="29"/>
      <c r="AY204" s="29"/>
      <c r="AZ204" s="29"/>
      <c r="BA204" s="29"/>
      <c r="BB204" s="29"/>
      <c r="BC204" s="29"/>
      <c r="BD204" s="29"/>
      <c r="BE204" s="29"/>
      <c r="BF204" s="29"/>
      <c r="BG204" s="29"/>
      <c r="BH204" s="29"/>
    </row>
    <row r="205" spans="1:60" ht="14.25" customHeight="1" x14ac:dyDescent="0.3">
      <c r="A205" s="28"/>
      <c r="B205" s="29"/>
      <c r="C205" s="30"/>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c r="AY205" s="29"/>
      <c r="AZ205" s="29"/>
      <c r="BA205" s="29"/>
      <c r="BB205" s="29"/>
      <c r="BC205" s="29"/>
      <c r="BD205" s="29"/>
      <c r="BE205" s="29"/>
      <c r="BF205" s="29"/>
      <c r="BG205" s="29"/>
      <c r="BH205" s="29"/>
    </row>
    <row r="206" spans="1:60" ht="14.25" customHeight="1" x14ac:dyDescent="0.3">
      <c r="A206" s="28"/>
      <c r="B206" s="29"/>
      <c r="C206" s="30"/>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c r="AV206" s="29"/>
      <c r="AW206" s="29"/>
      <c r="AX206" s="29"/>
      <c r="AY206" s="29"/>
      <c r="AZ206" s="29"/>
      <c r="BA206" s="29"/>
      <c r="BB206" s="29"/>
      <c r="BC206" s="29"/>
      <c r="BD206" s="29"/>
      <c r="BE206" s="29"/>
      <c r="BF206" s="29"/>
      <c r="BG206" s="29"/>
      <c r="BH206" s="29"/>
    </row>
    <row r="207" spans="1:60" ht="14.25" customHeight="1" x14ac:dyDescent="0.3">
      <c r="A207" s="28"/>
      <c r="B207" s="29"/>
      <c r="C207" s="30"/>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c r="AY207" s="29"/>
      <c r="AZ207" s="29"/>
      <c r="BA207" s="29"/>
      <c r="BB207" s="29"/>
      <c r="BC207" s="29"/>
      <c r="BD207" s="29"/>
      <c r="BE207" s="29"/>
      <c r="BF207" s="29"/>
      <c r="BG207" s="29"/>
      <c r="BH207" s="29"/>
    </row>
    <row r="208" spans="1:60" ht="14.25" customHeight="1" x14ac:dyDescent="0.3">
      <c r="A208" s="28"/>
      <c r="B208" s="29"/>
      <c r="C208" s="30"/>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c r="AT208" s="29"/>
      <c r="AU208" s="29"/>
      <c r="AV208" s="29"/>
      <c r="AW208" s="29"/>
      <c r="AX208" s="29"/>
      <c r="AY208" s="29"/>
      <c r="AZ208" s="29"/>
      <c r="BA208" s="29"/>
      <c r="BB208" s="29"/>
      <c r="BC208" s="29"/>
      <c r="BD208" s="29"/>
      <c r="BE208" s="29"/>
      <c r="BF208" s="29"/>
      <c r="BG208" s="29"/>
      <c r="BH208" s="29"/>
    </row>
    <row r="209" spans="1:60" ht="14.25" customHeight="1" x14ac:dyDescent="0.3">
      <c r="A209" s="28"/>
      <c r="B209" s="29"/>
      <c r="C209" s="30"/>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c r="BC209" s="29"/>
      <c r="BD209" s="29"/>
      <c r="BE209" s="29"/>
      <c r="BF209" s="29"/>
      <c r="BG209" s="29"/>
      <c r="BH209" s="29"/>
    </row>
    <row r="210" spans="1:60" ht="14.25" customHeight="1" x14ac:dyDescent="0.3">
      <c r="A210" s="28"/>
      <c r="B210" s="29"/>
      <c r="C210" s="30"/>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c r="AT210" s="29"/>
      <c r="AU210" s="29"/>
      <c r="AV210" s="29"/>
      <c r="AW210" s="29"/>
      <c r="AX210" s="29"/>
      <c r="AY210" s="29"/>
      <c r="AZ210" s="29"/>
      <c r="BA210" s="29"/>
      <c r="BB210" s="29"/>
      <c r="BC210" s="29"/>
      <c r="BD210" s="29"/>
      <c r="BE210" s="29"/>
      <c r="BF210" s="29"/>
      <c r="BG210" s="29"/>
      <c r="BH210" s="29"/>
    </row>
    <row r="211" spans="1:60" ht="14.25" customHeight="1" x14ac:dyDescent="0.3">
      <c r="A211" s="28"/>
      <c r="B211" s="29"/>
      <c r="C211" s="30"/>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c r="AV211" s="29"/>
      <c r="AW211" s="29"/>
      <c r="AX211" s="29"/>
      <c r="AY211" s="29"/>
      <c r="AZ211" s="29"/>
      <c r="BA211" s="29"/>
      <c r="BB211" s="29"/>
      <c r="BC211" s="29"/>
      <c r="BD211" s="29"/>
      <c r="BE211" s="29"/>
      <c r="BF211" s="29"/>
      <c r="BG211" s="29"/>
      <c r="BH211" s="29"/>
    </row>
    <row r="212" spans="1:60" ht="14.25" customHeight="1" x14ac:dyDescent="0.3">
      <c r="A212" s="28"/>
      <c r="B212" s="29"/>
      <c r="C212" s="30"/>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c r="AT212" s="29"/>
      <c r="AU212" s="29"/>
      <c r="AV212" s="29"/>
      <c r="AW212" s="29"/>
      <c r="AX212" s="29"/>
      <c r="AY212" s="29"/>
      <c r="AZ212" s="29"/>
      <c r="BA212" s="29"/>
      <c r="BB212" s="29"/>
      <c r="BC212" s="29"/>
      <c r="BD212" s="29"/>
      <c r="BE212" s="29"/>
      <c r="BF212" s="29"/>
      <c r="BG212" s="29"/>
      <c r="BH212" s="29"/>
    </row>
    <row r="213" spans="1:60" ht="14.25" customHeight="1" x14ac:dyDescent="0.3">
      <c r="A213" s="28"/>
      <c r="B213" s="29"/>
      <c r="C213" s="30"/>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c r="BC213" s="29"/>
      <c r="BD213" s="29"/>
      <c r="BE213" s="29"/>
      <c r="BF213" s="29"/>
      <c r="BG213" s="29"/>
      <c r="BH213" s="29"/>
    </row>
    <row r="214" spans="1:60" ht="14.25" customHeight="1" x14ac:dyDescent="0.3">
      <c r="A214" s="28"/>
      <c r="B214" s="29"/>
      <c r="C214" s="30"/>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c r="AU214" s="29"/>
      <c r="AV214" s="29"/>
      <c r="AW214" s="29"/>
      <c r="AX214" s="29"/>
      <c r="AY214" s="29"/>
      <c r="AZ214" s="29"/>
      <c r="BA214" s="29"/>
      <c r="BB214" s="29"/>
      <c r="BC214" s="29"/>
      <c r="BD214" s="29"/>
      <c r="BE214" s="29"/>
      <c r="BF214" s="29"/>
      <c r="BG214" s="29"/>
      <c r="BH214" s="29"/>
    </row>
    <row r="215" spans="1:60" ht="14.25" customHeight="1" x14ac:dyDescent="0.3">
      <c r="A215" s="28"/>
      <c r="B215" s="29"/>
      <c r="C215" s="30"/>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c r="BC215" s="29"/>
      <c r="BD215" s="29"/>
      <c r="BE215" s="29"/>
      <c r="BF215" s="29"/>
      <c r="BG215" s="29"/>
      <c r="BH215" s="29"/>
    </row>
    <row r="216" spans="1:60" ht="14.25" customHeight="1" x14ac:dyDescent="0.3">
      <c r="A216" s="28"/>
      <c r="B216" s="29"/>
      <c r="C216" s="30"/>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c r="AT216" s="29"/>
      <c r="AU216" s="29"/>
      <c r="AV216" s="29"/>
      <c r="AW216" s="29"/>
      <c r="AX216" s="29"/>
      <c r="AY216" s="29"/>
      <c r="AZ216" s="29"/>
      <c r="BA216" s="29"/>
      <c r="BB216" s="29"/>
      <c r="BC216" s="29"/>
      <c r="BD216" s="29"/>
      <c r="BE216" s="29"/>
      <c r="BF216" s="29"/>
      <c r="BG216" s="29"/>
      <c r="BH216" s="29"/>
    </row>
    <row r="217" spans="1:60" ht="14.25" customHeight="1" x14ac:dyDescent="0.3">
      <c r="A217" s="28"/>
      <c r="B217" s="29"/>
      <c r="C217" s="30"/>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c r="BC217" s="29"/>
      <c r="BD217" s="29"/>
      <c r="BE217" s="29"/>
      <c r="BF217" s="29"/>
      <c r="BG217" s="29"/>
      <c r="BH217" s="29"/>
    </row>
    <row r="218" spans="1:60" ht="14.25" customHeight="1" x14ac:dyDescent="0.3">
      <c r="A218" s="28"/>
      <c r="B218" s="29"/>
      <c r="C218" s="30"/>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c r="AN218" s="29"/>
      <c r="AO218" s="29"/>
      <c r="AP218" s="29"/>
      <c r="AQ218" s="29"/>
      <c r="AR218" s="29"/>
      <c r="AS218" s="29"/>
      <c r="AT218" s="29"/>
      <c r="AU218" s="29"/>
      <c r="AV218" s="29"/>
      <c r="AW218" s="29"/>
      <c r="AX218" s="29"/>
      <c r="AY218" s="29"/>
      <c r="AZ218" s="29"/>
      <c r="BA218" s="29"/>
      <c r="BB218" s="29"/>
      <c r="BC218" s="29"/>
      <c r="BD218" s="29"/>
      <c r="BE218" s="29"/>
      <c r="BF218" s="29"/>
      <c r="BG218" s="29"/>
      <c r="BH218" s="29"/>
    </row>
    <row r="219" spans="1:60" ht="14.25" customHeight="1" x14ac:dyDescent="0.3">
      <c r="A219" s="28"/>
      <c r="B219" s="29"/>
      <c r="C219" s="30"/>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c r="AV219" s="29"/>
      <c r="AW219" s="29"/>
      <c r="AX219" s="29"/>
      <c r="AY219" s="29"/>
      <c r="AZ219" s="29"/>
      <c r="BA219" s="29"/>
      <c r="BB219" s="29"/>
      <c r="BC219" s="29"/>
      <c r="BD219" s="29"/>
      <c r="BE219" s="29"/>
      <c r="BF219" s="29"/>
      <c r="BG219" s="29"/>
      <c r="BH219" s="29"/>
    </row>
    <row r="220" spans="1:60" ht="14.25" customHeight="1" x14ac:dyDescent="0.3">
      <c r="A220" s="28"/>
      <c r="B220" s="29"/>
      <c r="C220" s="30"/>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c r="AU220" s="29"/>
      <c r="AV220" s="29"/>
      <c r="AW220" s="29"/>
      <c r="AX220" s="29"/>
      <c r="AY220" s="29"/>
      <c r="AZ220" s="29"/>
      <c r="BA220" s="29"/>
      <c r="BB220" s="29"/>
      <c r="BC220" s="29"/>
      <c r="BD220" s="29"/>
      <c r="BE220" s="29"/>
      <c r="BF220" s="29"/>
      <c r="BG220" s="29"/>
      <c r="BH220" s="29"/>
    </row>
    <row r="221" spans="1:60" ht="14.25" customHeight="1" x14ac:dyDescent="0.3">
      <c r="A221" s="28"/>
      <c r="B221" s="29"/>
      <c r="C221" s="30"/>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29"/>
      <c r="AW221" s="29"/>
      <c r="AX221" s="29"/>
      <c r="AY221" s="29"/>
      <c r="AZ221" s="29"/>
      <c r="BA221" s="29"/>
      <c r="BB221" s="29"/>
      <c r="BC221" s="29"/>
      <c r="BD221" s="29"/>
      <c r="BE221" s="29"/>
      <c r="BF221" s="29"/>
      <c r="BG221" s="29"/>
      <c r="BH221" s="29"/>
    </row>
    <row r="222" spans="1:60" ht="14.25" customHeight="1" x14ac:dyDescent="0.3">
      <c r="A222" s="28"/>
      <c r="B222" s="29"/>
      <c r="C222" s="30"/>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c r="AT222" s="29"/>
      <c r="AU222" s="29"/>
      <c r="AV222" s="29"/>
      <c r="AW222" s="29"/>
      <c r="AX222" s="29"/>
      <c r="AY222" s="29"/>
      <c r="AZ222" s="29"/>
      <c r="BA222" s="29"/>
      <c r="BB222" s="29"/>
      <c r="BC222" s="29"/>
      <c r="BD222" s="29"/>
      <c r="BE222" s="29"/>
      <c r="BF222" s="29"/>
      <c r="BG222" s="29"/>
      <c r="BH222" s="29"/>
    </row>
    <row r="223" spans="1:60" ht="14.25" customHeight="1" x14ac:dyDescent="0.3">
      <c r="A223" s="28"/>
      <c r="B223" s="29"/>
      <c r="C223" s="30"/>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c r="BC223" s="29"/>
      <c r="BD223" s="29"/>
      <c r="BE223" s="29"/>
      <c r="BF223" s="29"/>
      <c r="BG223" s="29"/>
      <c r="BH223" s="29"/>
    </row>
    <row r="224" spans="1:60" ht="14.25" customHeight="1" x14ac:dyDescent="0.3">
      <c r="A224" s="28"/>
      <c r="B224" s="29"/>
      <c r="C224" s="30"/>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c r="AU224" s="29"/>
      <c r="AV224" s="29"/>
      <c r="AW224" s="29"/>
      <c r="AX224" s="29"/>
      <c r="AY224" s="29"/>
      <c r="AZ224" s="29"/>
      <c r="BA224" s="29"/>
      <c r="BB224" s="29"/>
      <c r="BC224" s="29"/>
      <c r="BD224" s="29"/>
      <c r="BE224" s="29"/>
      <c r="BF224" s="29"/>
      <c r="BG224" s="29"/>
      <c r="BH224" s="29"/>
    </row>
    <row r="225" spans="1:60" ht="14.25" customHeight="1" x14ac:dyDescent="0.3">
      <c r="A225" s="28"/>
      <c r="B225" s="29"/>
      <c r="C225" s="30"/>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c r="BE225" s="29"/>
      <c r="BF225" s="29"/>
      <c r="BG225" s="29"/>
      <c r="BH225" s="29"/>
    </row>
    <row r="226" spans="1:60" ht="14.25" customHeight="1" x14ac:dyDescent="0.3">
      <c r="A226" s="28"/>
      <c r="B226" s="29"/>
      <c r="C226" s="30"/>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c r="AV226" s="29"/>
      <c r="AW226" s="29"/>
      <c r="AX226" s="29"/>
      <c r="AY226" s="29"/>
      <c r="AZ226" s="29"/>
      <c r="BA226" s="29"/>
      <c r="BB226" s="29"/>
      <c r="BC226" s="29"/>
      <c r="BD226" s="29"/>
      <c r="BE226" s="29"/>
      <c r="BF226" s="29"/>
      <c r="BG226" s="29"/>
      <c r="BH226" s="29"/>
    </row>
    <row r="227" spans="1:60" ht="14.25" customHeight="1" x14ac:dyDescent="0.3">
      <c r="A227" s="28"/>
      <c r="B227" s="29"/>
      <c r="C227" s="30"/>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29"/>
      <c r="AW227" s="29"/>
      <c r="AX227" s="29"/>
      <c r="AY227" s="29"/>
      <c r="AZ227" s="29"/>
      <c r="BA227" s="29"/>
      <c r="BB227" s="29"/>
      <c r="BC227" s="29"/>
      <c r="BD227" s="29"/>
      <c r="BE227" s="29"/>
      <c r="BF227" s="29"/>
      <c r="BG227" s="29"/>
      <c r="BH227" s="29"/>
    </row>
    <row r="228" spans="1:60" ht="14.25" customHeight="1" x14ac:dyDescent="0.3">
      <c r="A228" s="28"/>
      <c r="B228" s="29"/>
      <c r="C228" s="30"/>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c r="AT228" s="29"/>
      <c r="AU228" s="29"/>
      <c r="AV228" s="29"/>
      <c r="AW228" s="29"/>
      <c r="AX228" s="29"/>
      <c r="AY228" s="29"/>
      <c r="AZ228" s="29"/>
      <c r="BA228" s="29"/>
      <c r="BB228" s="29"/>
      <c r="BC228" s="29"/>
      <c r="BD228" s="29"/>
      <c r="BE228" s="29"/>
      <c r="BF228" s="29"/>
      <c r="BG228" s="29"/>
      <c r="BH228" s="29"/>
    </row>
    <row r="229" spans="1:60" ht="14.25" customHeight="1" x14ac:dyDescent="0.3">
      <c r="A229" s="28"/>
      <c r="B229" s="29"/>
      <c r="C229" s="30"/>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c r="AV229" s="29"/>
      <c r="AW229" s="29"/>
      <c r="AX229" s="29"/>
      <c r="AY229" s="29"/>
      <c r="AZ229" s="29"/>
      <c r="BA229" s="29"/>
      <c r="BB229" s="29"/>
      <c r="BC229" s="29"/>
      <c r="BD229" s="29"/>
      <c r="BE229" s="29"/>
      <c r="BF229" s="29"/>
      <c r="BG229" s="29"/>
      <c r="BH229" s="29"/>
    </row>
    <row r="230" spans="1:60" ht="14.25" customHeight="1" x14ac:dyDescent="0.3">
      <c r="A230" s="28"/>
      <c r="B230" s="29"/>
      <c r="C230" s="30"/>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c r="AT230" s="29"/>
      <c r="AU230" s="29"/>
      <c r="AV230" s="29"/>
      <c r="AW230" s="29"/>
      <c r="AX230" s="29"/>
      <c r="AY230" s="29"/>
      <c r="AZ230" s="29"/>
      <c r="BA230" s="29"/>
      <c r="BB230" s="29"/>
      <c r="BC230" s="29"/>
      <c r="BD230" s="29"/>
      <c r="BE230" s="29"/>
      <c r="BF230" s="29"/>
      <c r="BG230" s="29"/>
      <c r="BH230" s="29"/>
    </row>
    <row r="231" spans="1:60" ht="14.25" customHeight="1" x14ac:dyDescent="0.3">
      <c r="A231" s="28"/>
      <c r="B231" s="29"/>
      <c r="C231" s="30"/>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c r="BC231" s="29"/>
      <c r="BD231" s="29"/>
      <c r="BE231" s="29"/>
      <c r="BF231" s="29"/>
      <c r="BG231" s="29"/>
      <c r="BH231" s="29"/>
    </row>
    <row r="232" spans="1:60" ht="14.25" customHeight="1" x14ac:dyDescent="0.3">
      <c r="A232" s="28"/>
      <c r="B232" s="29"/>
      <c r="C232" s="30"/>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c r="AT232" s="29"/>
      <c r="AU232" s="29"/>
      <c r="AV232" s="29"/>
      <c r="AW232" s="29"/>
      <c r="AX232" s="29"/>
      <c r="AY232" s="29"/>
      <c r="AZ232" s="29"/>
      <c r="BA232" s="29"/>
      <c r="BB232" s="29"/>
      <c r="BC232" s="29"/>
      <c r="BD232" s="29"/>
      <c r="BE232" s="29"/>
      <c r="BF232" s="29"/>
      <c r="BG232" s="29"/>
      <c r="BH232" s="29"/>
    </row>
    <row r="233" spans="1:60" ht="14.25" customHeight="1" x14ac:dyDescent="0.3">
      <c r="A233" s="28"/>
      <c r="B233" s="29"/>
      <c r="C233" s="30"/>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c r="BC233" s="29"/>
      <c r="BD233" s="29"/>
      <c r="BE233" s="29"/>
      <c r="BF233" s="29"/>
      <c r="BG233" s="29"/>
      <c r="BH233" s="29"/>
    </row>
    <row r="234" spans="1:60" ht="14.25" customHeight="1" x14ac:dyDescent="0.3">
      <c r="A234" s="28"/>
      <c r="B234" s="29"/>
      <c r="C234" s="30"/>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c r="AV234" s="29"/>
      <c r="AW234" s="29"/>
      <c r="AX234" s="29"/>
      <c r="AY234" s="29"/>
      <c r="AZ234" s="29"/>
      <c r="BA234" s="29"/>
      <c r="BB234" s="29"/>
      <c r="BC234" s="29"/>
      <c r="BD234" s="29"/>
      <c r="BE234" s="29"/>
      <c r="BF234" s="29"/>
      <c r="BG234" s="29"/>
      <c r="BH234" s="29"/>
    </row>
    <row r="235" spans="1:60" ht="14.25" customHeight="1" x14ac:dyDescent="0.3">
      <c r="A235" s="28"/>
      <c r="B235" s="29"/>
      <c r="C235" s="30"/>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c r="BC235" s="29"/>
      <c r="BD235" s="29"/>
      <c r="BE235" s="29"/>
      <c r="BF235" s="29"/>
      <c r="BG235" s="29"/>
      <c r="BH235" s="29"/>
    </row>
    <row r="236" spans="1:60" ht="14.25" customHeight="1" x14ac:dyDescent="0.3">
      <c r="A236" s="28"/>
      <c r="B236" s="29"/>
      <c r="C236" s="30"/>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c r="AV236" s="29"/>
      <c r="AW236" s="29"/>
      <c r="AX236" s="29"/>
      <c r="AY236" s="29"/>
      <c r="AZ236" s="29"/>
      <c r="BA236" s="29"/>
      <c r="BB236" s="29"/>
      <c r="BC236" s="29"/>
      <c r="BD236" s="29"/>
      <c r="BE236" s="29"/>
      <c r="BF236" s="29"/>
      <c r="BG236" s="29"/>
      <c r="BH236" s="29"/>
    </row>
    <row r="237" spans="1:60" ht="14.25" customHeight="1" x14ac:dyDescent="0.3">
      <c r="A237" s="28"/>
      <c r="B237" s="29"/>
      <c r="C237" s="30"/>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c r="AV237" s="29"/>
      <c r="AW237" s="29"/>
      <c r="AX237" s="29"/>
      <c r="AY237" s="29"/>
      <c r="AZ237" s="29"/>
      <c r="BA237" s="29"/>
      <c r="BB237" s="29"/>
      <c r="BC237" s="29"/>
      <c r="BD237" s="29"/>
      <c r="BE237" s="29"/>
      <c r="BF237" s="29"/>
      <c r="BG237" s="29"/>
      <c r="BH237" s="29"/>
    </row>
    <row r="238" spans="1:60" ht="14.25" customHeight="1" x14ac:dyDescent="0.3">
      <c r="A238" s="28"/>
      <c r="B238" s="29"/>
      <c r="C238" s="30"/>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c r="AT238" s="29"/>
      <c r="AU238" s="29"/>
      <c r="AV238" s="29"/>
      <c r="AW238" s="29"/>
      <c r="AX238" s="29"/>
      <c r="AY238" s="29"/>
      <c r="AZ238" s="29"/>
      <c r="BA238" s="29"/>
      <c r="BB238" s="29"/>
      <c r="BC238" s="29"/>
      <c r="BD238" s="29"/>
      <c r="BE238" s="29"/>
      <c r="BF238" s="29"/>
      <c r="BG238" s="29"/>
      <c r="BH238" s="29"/>
    </row>
    <row r="239" spans="1:60" ht="14.25" customHeight="1" x14ac:dyDescent="0.3">
      <c r="A239" s="28"/>
      <c r="B239" s="29"/>
      <c r="C239" s="30"/>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c r="BC239" s="29"/>
      <c r="BD239" s="29"/>
      <c r="BE239" s="29"/>
      <c r="BF239" s="29"/>
      <c r="BG239" s="29"/>
      <c r="BH239" s="29"/>
    </row>
    <row r="240" spans="1:60" ht="14.25" customHeight="1" x14ac:dyDescent="0.3">
      <c r="A240" s="28"/>
      <c r="B240" s="29"/>
      <c r="C240" s="30"/>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c r="AV240" s="29"/>
      <c r="AW240" s="29"/>
      <c r="AX240" s="29"/>
      <c r="AY240" s="29"/>
      <c r="AZ240" s="29"/>
      <c r="BA240" s="29"/>
      <c r="BB240" s="29"/>
      <c r="BC240" s="29"/>
      <c r="BD240" s="29"/>
      <c r="BE240" s="29"/>
      <c r="BF240" s="29"/>
      <c r="BG240" s="29"/>
      <c r="BH240" s="29"/>
    </row>
    <row r="241" spans="1:60" ht="14.25" customHeight="1" x14ac:dyDescent="0.3">
      <c r="A241" s="28"/>
      <c r="B241" s="29"/>
      <c r="C241" s="30"/>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c r="AV241" s="29"/>
      <c r="AW241" s="29"/>
      <c r="AX241" s="29"/>
      <c r="AY241" s="29"/>
      <c r="AZ241" s="29"/>
      <c r="BA241" s="29"/>
      <c r="BB241" s="29"/>
      <c r="BC241" s="29"/>
      <c r="BD241" s="29"/>
      <c r="BE241" s="29"/>
      <c r="BF241" s="29"/>
      <c r="BG241" s="29"/>
      <c r="BH241" s="29"/>
    </row>
    <row r="242" spans="1:60" ht="14.25" customHeight="1" x14ac:dyDescent="0.3">
      <c r="A242" s="28"/>
      <c r="B242" s="29"/>
      <c r="C242" s="30"/>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c r="AT242" s="29"/>
      <c r="AU242" s="29"/>
      <c r="AV242" s="29"/>
      <c r="AW242" s="29"/>
      <c r="AX242" s="29"/>
      <c r="AY242" s="29"/>
      <c r="AZ242" s="29"/>
      <c r="BA242" s="29"/>
      <c r="BB242" s="29"/>
      <c r="BC242" s="29"/>
      <c r="BD242" s="29"/>
      <c r="BE242" s="29"/>
      <c r="BF242" s="29"/>
      <c r="BG242" s="29"/>
      <c r="BH242" s="29"/>
    </row>
    <row r="243" spans="1:60" ht="14.25" customHeight="1" x14ac:dyDescent="0.3">
      <c r="A243" s="28"/>
      <c r="B243" s="29"/>
      <c r="C243" s="30"/>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c r="AV243" s="29"/>
      <c r="AW243" s="29"/>
      <c r="AX243" s="29"/>
      <c r="AY243" s="29"/>
      <c r="AZ243" s="29"/>
      <c r="BA243" s="29"/>
      <c r="BB243" s="29"/>
      <c r="BC243" s="29"/>
      <c r="BD243" s="29"/>
      <c r="BE243" s="29"/>
      <c r="BF243" s="29"/>
      <c r="BG243" s="29"/>
      <c r="BH243" s="29"/>
    </row>
    <row r="244" spans="1:60" ht="14.25" customHeight="1" x14ac:dyDescent="0.3">
      <c r="A244" s="28"/>
      <c r="B244" s="29"/>
      <c r="C244" s="30"/>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c r="AT244" s="29"/>
      <c r="AU244" s="29"/>
      <c r="AV244" s="29"/>
      <c r="AW244" s="29"/>
      <c r="AX244" s="29"/>
      <c r="AY244" s="29"/>
      <c r="AZ244" s="29"/>
      <c r="BA244" s="29"/>
      <c r="BB244" s="29"/>
      <c r="BC244" s="29"/>
      <c r="BD244" s="29"/>
      <c r="BE244" s="29"/>
      <c r="BF244" s="29"/>
      <c r="BG244" s="29"/>
      <c r="BH244" s="29"/>
    </row>
    <row r="245" spans="1:60" ht="14.25" customHeight="1" x14ac:dyDescent="0.3">
      <c r="A245" s="28"/>
      <c r="B245" s="29"/>
      <c r="C245" s="30"/>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c r="AV245" s="29"/>
      <c r="AW245" s="29"/>
      <c r="AX245" s="29"/>
      <c r="AY245" s="29"/>
      <c r="AZ245" s="29"/>
      <c r="BA245" s="29"/>
      <c r="BB245" s="29"/>
      <c r="BC245" s="29"/>
      <c r="BD245" s="29"/>
      <c r="BE245" s="29"/>
      <c r="BF245" s="29"/>
      <c r="BG245" s="29"/>
      <c r="BH245" s="29"/>
    </row>
    <row r="246" spans="1:60" ht="14.25" customHeight="1" x14ac:dyDescent="0.3">
      <c r="A246" s="28"/>
      <c r="B246" s="29"/>
      <c r="C246" s="30"/>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29"/>
      <c r="AW246" s="29"/>
      <c r="AX246" s="29"/>
      <c r="AY246" s="29"/>
      <c r="AZ246" s="29"/>
      <c r="BA246" s="29"/>
      <c r="BB246" s="29"/>
      <c r="BC246" s="29"/>
      <c r="BD246" s="29"/>
      <c r="BE246" s="29"/>
      <c r="BF246" s="29"/>
      <c r="BG246" s="29"/>
      <c r="BH246" s="29"/>
    </row>
    <row r="247" spans="1:60" ht="14.25" customHeight="1" x14ac:dyDescent="0.3">
      <c r="A247" s="28"/>
      <c r="B247" s="29"/>
      <c r="C247" s="30"/>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c r="AV247" s="29"/>
      <c r="AW247" s="29"/>
      <c r="AX247" s="29"/>
      <c r="AY247" s="29"/>
      <c r="AZ247" s="29"/>
      <c r="BA247" s="29"/>
      <c r="BB247" s="29"/>
      <c r="BC247" s="29"/>
      <c r="BD247" s="29"/>
      <c r="BE247" s="29"/>
      <c r="BF247" s="29"/>
      <c r="BG247" s="29"/>
      <c r="BH247" s="29"/>
    </row>
    <row r="248" spans="1:60" ht="14.25" customHeight="1" x14ac:dyDescent="0.3">
      <c r="A248" s="28"/>
      <c r="B248" s="29"/>
      <c r="C248" s="30"/>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c r="AV248" s="29"/>
      <c r="AW248" s="29"/>
      <c r="AX248" s="29"/>
      <c r="AY248" s="29"/>
      <c r="AZ248" s="29"/>
      <c r="BA248" s="29"/>
      <c r="BB248" s="29"/>
      <c r="BC248" s="29"/>
      <c r="BD248" s="29"/>
      <c r="BE248" s="29"/>
      <c r="BF248" s="29"/>
      <c r="BG248" s="29"/>
      <c r="BH248" s="29"/>
    </row>
    <row r="249" spans="1:60" ht="14.25" customHeight="1" x14ac:dyDescent="0.3">
      <c r="A249" s="28"/>
      <c r="B249" s="29"/>
      <c r="C249" s="30"/>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c r="AV249" s="29"/>
      <c r="AW249" s="29"/>
      <c r="AX249" s="29"/>
      <c r="AY249" s="29"/>
      <c r="AZ249" s="29"/>
      <c r="BA249" s="29"/>
      <c r="BB249" s="29"/>
      <c r="BC249" s="29"/>
      <c r="BD249" s="29"/>
      <c r="BE249" s="29"/>
      <c r="BF249" s="29"/>
      <c r="BG249" s="29"/>
      <c r="BH249" s="29"/>
    </row>
    <row r="250" spans="1:60" ht="14.25" customHeight="1" x14ac:dyDescent="0.3">
      <c r="A250" s="28"/>
      <c r="B250" s="29"/>
      <c r="C250" s="30"/>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29"/>
      <c r="AY250" s="29"/>
      <c r="AZ250" s="29"/>
      <c r="BA250" s="29"/>
      <c r="BB250" s="29"/>
      <c r="BC250" s="29"/>
      <c r="BD250" s="29"/>
      <c r="BE250" s="29"/>
      <c r="BF250" s="29"/>
      <c r="BG250" s="29"/>
      <c r="BH250" s="29"/>
    </row>
    <row r="251" spans="1:60" ht="14.25" customHeight="1" x14ac:dyDescent="0.3">
      <c r="A251" s="28"/>
      <c r="B251" s="29"/>
      <c r="C251" s="30"/>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29"/>
      <c r="AY251" s="29"/>
      <c r="AZ251" s="29"/>
      <c r="BA251" s="29"/>
      <c r="BB251" s="29"/>
      <c r="BC251" s="29"/>
      <c r="BD251" s="29"/>
      <c r="BE251" s="29"/>
      <c r="BF251" s="29"/>
      <c r="BG251" s="29"/>
      <c r="BH251" s="29"/>
    </row>
    <row r="252" spans="1:60" ht="14.25" customHeight="1" x14ac:dyDescent="0.3">
      <c r="A252" s="28"/>
      <c r="B252" s="29"/>
      <c r="C252" s="30"/>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29"/>
      <c r="AY252" s="29"/>
      <c r="AZ252" s="29"/>
      <c r="BA252" s="29"/>
      <c r="BB252" s="29"/>
      <c r="BC252" s="29"/>
      <c r="BD252" s="29"/>
      <c r="BE252" s="29"/>
      <c r="BF252" s="29"/>
      <c r="BG252" s="29"/>
      <c r="BH252" s="29"/>
    </row>
    <row r="253" spans="1:60" ht="14.25" customHeight="1" x14ac:dyDescent="0.3">
      <c r="A253" s="28"/>
      <c r="B253" s="29"/>
      <c r="C253" s="30"/>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29"/>
      <c r="AY253" s="29"/>
      <c r="AZ253" s="29"/>
      <c r="BA253" s="29"/>
      <c r="BB253" s="29"/>
      <c r="BC253" s="29"/>
      <c r="BD253" s="29"/>
      <c r="BE253" s="29"/>
      <c r="BF253" s="29"/>
      <c r="BG253" s="29"/>
      <c r="BH253" s="29"/>
    </row>
    <row r="254" spans="1:60" ht="14.25" customHeight="1" x14ac:dyDescent="0.3">
      <c r="A254" s="28"/>
      <c r="B254" s="29"/>
      <c r="C254" s="30"/>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c r="AV254" s="29"/>
      <c r="AW254" s="29"/>
      <c r="AX254" s="29"/>
      <c r="AY254" s="29"/>
      <c r="AZ254" s="29"/>
      <c r="BA254" s="29"/>
      <c r="BB254" s="29"/>
      <c r="BC254" s="29"/>
      <c r="BD254" s="29"/>
      <c r="BE254" s="29"/>
      <c r="BF254" s="29"/>
      <c r="BG254" s="29"/>
      <c r="BH254" s="29"/>
    </row>
    <row r="255" spans="1:60" ht="14.25" customHeight="1" x14ac:dyDescent="0.3">
      <c r="A255" s="28"/>
      <c r="B255" s="29"/>
      <c r="C255" s="30"/>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row>
    <row r="256" spans="1:60" ht="14.25" customHeight="1" x14ac:dyDescent="0.3">
      <c r="A256" s="28"/>
      <c r="B256" s="29"/>
      <c r="C256" s="30"/>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c r="AV256" s="29"/>
      <c r="AW256" s="29"/>
      <c r="AX256" s="29"/>
      <c r="AY256" s="29"/>
      <c r="AZ256" s="29"/>
      <c r="BA256" s="29"/>
      <c r="BB256" s="29"/>
      <c r="BC256" s="29"/>
      <c r="BD256" s="29"/>
      <c r="BE256" s="29"/>
      <c r="BF256" s="29"/>
      <c r="BG256" s="29"/>
      <c r="BH256" s="29"/>
    </row>
    <row r="257" spans="1:60" ht="14.25" customHeight="1" x14ac:dyDescent="0.3">
      <c r="A257" s="28"/>
      <c r="B257" s="29"/>
      <c r="C257" s="30"/>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29"/>
      <c r="AY257" s="29"/>
      <c r="AZ257" s="29"/>
      <c r="BA257" s="29"/>
      <c r="BB257" s="29"/>
      <c r="BC257" s="29"/>
      <c r="BD257" s="29"/>
      <c r="BE257" s="29"/>
      <c r="BF257" s="29"/>
      <c r="BG257" s="29"/>
      <c r="BH257" s="29"/>
    </row>
    <row r="258" spans="1:60" ht="14.25" customHeight="1" x14ac:dyDescent="0.3">
      <c r="A258" s="28"/>
      <c r="B258" s="29"/>
      <c r="C258" s="30"/>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c r="AX258" s="29"/>
      <c r="AY258" s="29"/>
      <c r="AZ258" s="29"/>
      <c r="BA258" s="29"/>
      <c r="BB258" s="29"/>
      <c r="BC258" s="29"/>
      <c r="BD258" s="29"/>
      <c r="BE258" s="29"/>
      <c r="BF258" s="29"/>
      <c r="BG258" s="29"/>
      <c r="BH258" s="29"/>
    </row>
    <row r="259" spans="1:60" ht="14.25" customHeight="1" x14ac:dyDescent="0.3">
      <c r="A259" s="28"/>
      <c r="B259" s="29"/>
      <c r="C259" s="30"/>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c r="BF259" s="29"/>
      <c r="BG259" s="29"/>
      <c r="BH259" s="29"/>
    </row>
    <row r="260" spans="1:60" ht="14.25" customHeight="1" x14ac:dyDescent="0.3">
      <c r="A260" s="28"/>
      <c r="B260" s="29"/>
      <c r="C260" s="30"/>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c r="AT260" s="29"/>
      <c r="AU260" s="29"/>
      <c r="AV260" s="29"/>
      <c r="AW260" s="29"/>
      <c r="AX260" s="29"/>
      <c r="AY260" s="29"/>
      <c r="AZ260" s="29"/>
      <c r="BA260" s="29"/>
      <c r="BB260" s="29"/>
      <c r="BC260" s="29"/>
      <c r="BD260" s="29"/>
      <c r="BE260" s="29"/>
      <c r="BF260" s="29"/>
      <c r="BG260" s="29"/>
      <c r="BH260" s="29"/>
    </row>
    <row r="261" spans="1:60" ht="14.25" customHeight="1" x14ac:dyDescent="0.3">
      <c r="A261" s="28"/>
      <c r="B261" s="29"/>
      <c r="C261" s="30"/>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c r="AX261" s="29"/>
      <c r="AY261" s="29"/>
      <c r="AZ261" s="29"/>
      <c r="BA261" s="29"/>
      <c r="BB261" s="29"/>
      <c r="BC261" s="29"/>
      <c r="BD261" s="29"/>
      <c r="BE261" s="29"/>
      <c r="BF261" s="29"/>
      <c r="BG261" s="29"/>
      <c r="BH261" s="29"/>
    </row>
    <row r="262" spans="1:60" ht="14.25" customHeight="1" x14ac:dyDescent="0.3">
      <c r="A262" s="28"/>
      <c r="B262" s="29"/>
      <c r="C262" s="30"/>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c r="AT262" s="29"/>
      <c r="AU262" s="29"/>
      <c r="AV262" s="29"/>
      <c r="AW262" s="29"/>
      <c r="AX262" s="29"/>
      <c r="AY262" s="29"/>
      <c r="AZ262" s="29"/>
      <c r="BA262" s="29"/>
      <c r="BB262" s="29"/>
      <c r="BC262" s="29"/>
      <c r="BD262" s="29"/>
      <c r="BE262" s="29"/>
      <c r="BF262" s="29"/>
      <c r="BG262" s="29"/>
      <c r="BH262" s="29"/>
    </row>
    <row r="263" spans="1:60" ht="14.25" customHeight="1" x14ac:dyDescent="0.3">
      <c r="A263" s="28"/>
      <c r="B263" s="29"/>
      <c r="C263" s="30"/>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29"/>
      <c r="AW263" s="29"/>
      <c r="AX263" s="29"/>
      <c r="AY263" s="29"/>
      <c r="AZ263" s="29"/>
      <c r="BA263" s="29"/>
      <c r="BB263" s="29"/>
      <c r="BC263" s="29"/>
      <c r="BD263" s="29"/>
      <c r="BE263" s="29"/>
      <c r="BF263" s="29"/>
      <c r="BG263" s="29"/>
      <c r="BH263" s="29"/>
    </row>
    <row r="264" spans="1:60" ht="14.25" customHeight="1" x14ac:dyDescent="0.3">
      <c r="A264" s="28"/>
      <c r="B264" s="29"/>
      <c r="C264" s="30"/>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c r="AO264" s="29"/>
      <c r="AP264" s="29"/>
      <c r="AQ264" s="29"/>
      <c r="AR264" s="29"/>
      <c r="AS264" s="29"/>
      <c r="AT264" s="29"/>
      <c r="AU264" s="29"/>
      <c r="AV264" s="29"/>
      <c r="AW264" s="29"/>
      <c r="AX264" s="29"/>
      <c r="AY264" s="29"/>
      <c r="AZ264" s="29"/>
      <c r="BA264" s="29"/>
      <c r="BB264" s="29"/>
      <c r="BC264" s="29"/>
      <c r="BD264" s="29"/>
      <c r="BE264" s="29"/>
      <c r="BF264" s="29"/>
      <c r="BG264" s="29"/>
      <c r="BH264" s="29"/>
    </row>
    <row r="265" spans="1:60" ht="14.25" customHeight="1" x14ac:dyDescent="0.3">
      <c r="A265" s="28"/>
      <c r="B265" s="29"/>
      <c r="C265" s="30"/>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c r="AV265" s="29"/>
      <c r="AW265" s="29"/>
      <c r="AX265" s="29"/>
      <c r="AY265" s="29"/>
      <c r="AZ265" s="29"/>
      <c r="BA265" s="29"/>
      <c r="BB265" s="29"/>
      <c r="BC265" s="29"/>
      <c r="BD265" s="29"/>
      <c r="BE265" s="29"/>
      <c r="BF265" s="29"/>
      <c r="BG265" s="29"/>
      <c r="BH265" s="29"/>
    </row>
    <row r="266" spans="1:60" ht="14.25" customHeight="1" x14ac:dyDescent="0.3">
      <c r="A266" s="28"/>
      <c r="B266" s="29"/>
      <c r="C266" s="30"/>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c r="AT266" s="29"/>
      <c r="AU266" s="29"/>
      <c r="AV266" s="29"/>
      <c r="AW266" s="29"/>
      <c r="AX266" s="29"/>
      <c r="AY266" s="29"/>
      <c r="AZ266" s="29"/>
      <c r="BA266" s="29"/>
      <c r="BB266" s="29"/>
      <c r="BC266" s="29"/>
      <c r="BD266" s="29"/>
      <c r="BE266" s="29"/>
      <c r="BF266" s="29"/>
      <c r="BG266" s="29"/>
      <c r="BH266" s="29"/>
    </row>
    <row r="267" spans="1:60" ht="14.25" customHeight="1" x14ac:dyDescent="0.3">
      <c r="A267" s="28"/>
      <c r="B267" s="29"/>
      <c r="C267" s="30"/>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c r="AV267" s="29"/>
      <c r="AW267" s="29"/>
      <c r="AX267" s="29"/>
      <c r="AY267" s="29"/>
      <c r="AZ267" s="29"/>
      <c r="BA267" s="29"/>
      <c r="BB267" s="29"/>
      <c r="BC267" s="29"/>
      <c r="BD267" s="29"/>
      <c r="BE267" s="29"/>
      <c r="BF267" s="29"/>
      <c r="BG267" s="29"/>
      <c r="BH267" s="29"/>
    </row>
    <row r="268" spans="1:60" ht="14.25" customHeight="1" x14ac:dyDescent="0.3">
      <c r="A268" s="28"/>
      <c r="B268" s="29"/>
      <c r="C268" s="30"/>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29"/>
      <c r="AW268" s="29"/>
      <c r="AX268" s="29"/>
      <c r="AY268" s="29"/>
      <c r="AZ268" s="29"/>
      <c r="BA268" s="29"/>
      <c r="BB268" s="29"/>
      <c r="BC268" s="29"/>
      <c r="BD268" s="29"/>
      <c r="BE268" s="29"/>
      <c r="BF268" s="29"/>
      <c r="BG268" s="29"/>
      <c r="BH268" s="29"/>
    </row>
    <row r="269" spans="1:60" ht="14.25" customHeight="1" x14ac:dyDescent="0.3">
      <c r="A269" s="28"/>
      <c r="B269" s="29"/>
      <c r="C269" s="30"/>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29"/>
      <c r="AY269" s="29"/>
      <c r="AZ269" s="29"/>
      <c r="BA269" s="29"/>
      <c r="BB269" s="29"/>
      <c r="BC269" s="29"/>
      <c r="BD269" s="29"/>
      <c r="BE269" s="29"/>
      <c r="BF269" s="29"/>
      <c r="BG269" s="29"/>
      <c r="BH269" s="29"/>
    </row>
    <row r="270" spans="1:60" ht="14.25" customHeight="1" x14ac:dyDescent="0.3">
      <c r="A270" s="28"/>
      <c r="B270" s="29"/>
      <c r="C270" s="30"/>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c r="AT270" s="29"/>
      <c r="AU270" s="29"/>
      <c r="AV270" s="29"/>
      <c r="AW270" s="29"/>
      <c r="AX270" s="29"/>
      <c r="AY270" s="29"/>
      <c r="AZ270" s="29"/>
      <c r="BA270" s="29"/>
      <c r="BB270" s="29"/>
      <c r="BC270" s="29"/>
      <c r="BD270" s="29"/>
      <c r="BE270" s="29"/>
      <c r="BF270" s="29"/>
      <c r="BG270" s="29"/>
      <c r="BH270" s="29"/>
    </row>
    <row r="271" spans="1:60" ht="14.25" customHeight="1" x14ac:dyDescent="0.3">
      <c r="A271" s="28"/>
      <c r="B271" s="29"/>
      <c r="C271" s="30"/>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c r="AV271" s="29"/>
      <c r="AW271" s="29"/>
      <c r="AX271" s="29"/>
      <c r="AY271" s="29"/>
      <c r="AZ271" s="29"/>
      <c r="BA271" s="29"/>
      <c r="BB271" s="29"/>
      <c r="BC271" s="29"/>
      <c r="BD271" s="29"/>
      <c r="BE271" s="29"/>
      <c r="BF271" s="29"/>
      <c r="BG271" s="29"/>
      <c r="BH271" s="29"/>
    </row>
    <row r="272" spans="1:60" ht="14.25" customHeight="1" x14ac:dyDescent="0.3">
      <c r="A272" s="28"/>
      <c r="B272" s="29"/>
      <c r="C272" s="30"/>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c r="AX272" s="29"/>
      <c r="AY272" s="29"/>
      <c r="AZ272" s="29"/>
      <c r="BA272" s="29"/>
      <c r="BB272" s="29"/>
      <c r="BC272" s="29"/>
      <c r="BD272" s="29"/>
      <c r="BE272" s="29"/>
      <c r="BF272" s="29"/>
      <c r="BG272" s="29"/>
      <c r="BH272" s="29"/>
    </row>
    <row r="273" spans="1:60" ht="14.25" customHeight="1" x14ac:dyDescent="0.3">
      <c r="A273" s="28"/>
      <c r="B273" s="29"/>
      <c r="C273" s="30"/>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29"/>
      <c r="AW273" s="29"/>
      <c r="AX273" s="29"/>
      <c r="AY273" s="29"/>
      <c r="AZ273" s="29"/>
      <c r="BA273" s="29"/>
      <c r="BB273" s="29"/>
      <c r="BC273" s="29"/>
      <c r="BD273" s="29"/>
      <c r="BE273" s="29"/>
      <c r="BF273" s="29"/>
      <c r="BG273" s="29"/>
      <c r="BH273" s="29"/>
    </row>
    <row r="274" spans="1:60" ht="14.25" customHeight="1" x14ac:dyDescent="0.3">
      <c r="A274" s="28"/>
      <c r="B274" s="29"/>
      <c r="C274" s="30"/>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c r="AN274" s="29"/>
      <c r="AO274" s="29"/>
      <c r="AP274" s="29"/>
      <c r="AQ274" s="29"/>
      <c r="AR274" s="29"/>
      <c r="AS274" s="29"/>
      <c r="AT274" s="29"/>
      <c r="AU274" s="29"/>
      <c r="AV274" s="29"/>
      <c r="AW274" s="29"/>
      <c r="AX274" s="29"/>
      <c r="AY274" s="29"/>
      <c r="AZ274" s="29"/>
      <c r="BA274" s="29"/>
      <c r="BB274" s="29"/>
      <c r="BC274" s="29"/>
      <c r="BD274" s="29"/>
      <c r="BE274" s="29"/>
      <c r="BF274" s="29"/>
      <c r="BG274" s="29"/>
      <c r="BH274" s="29"/>
    </row>
    <row r="275" spans="1:60" ht="14.25" customHeight="1" x14ac:dyDescent="0.3">
      <c r="A275" s="28"/>
      <c r="B275" s="29"/>
      <c r="C275" s="30"/>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29"/>
      <c r="AY275" s="29"/>
      <c r="AZ275" s="29"/>
      <c r="BA275" s="29"/>
      <c r="BB275" s="29"/>
      <c r="BC275" s="29"/>
      <c r="BD275" s="29"/>
      <c r="BE275" s="29"/>
      <c r="BF275" s="29"/>
      <c r="BG275" s="29"/>
      <c r="BH275" s="29"/>
    </row>
    <row r="276" spans="1:60" ht="14.25" customHeight="1" x14ac:dyDescent="0.3">
      <c r="A276" s="28"/>
      <c r="B276" s="29"/>
      <c r="C276" s="30"/>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c r="AN276" s="29"/>
      <c r="AO276" s="29"/>
      <c r="AP276" s="29"/>
      <c r="AQ276" s="29"/>
      <c r="AR276" s="29"/>
      <c r="AS276" s="29"/>
      <c r="AT276" s="29"/>
      <c r="AU276" s="29"/>
      <c r="AV276" s="29"/>
      <c r="AW276" s="29"/>
      <c r="AX276" s="29"/>
      <c r="AY276" s="29"/>
      <c r="AZ276" s="29"/>
      <c r="BA276" s="29"/>
      <c r="BB276" s="29"/>
      <c r="BC276" s="29"/>
      <c r="BD276" s="29"/>
      <c r="BE276" s="29"/>
      <c r="BF276" s="29"/>
      <c r="BG276" s="29"/>
      <c r="BH276" s="29"/>
    </row>
    <row r="277" spans="1:60" ht="14.25" customHeight="1" x14ac:dyDescent="0.3">
      <c r="A277" s="28"/>
      <c r="B277" s="29"/>
      <c r="C277" s="30"/>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c r="AV277" s="29"/>
      <c r="AW277" s="29"/>
      <c r="AX277" s="29"/>
      <c r="AY277" s="29"/>
      <c r="AZ277" s="29"/>
      <c r="BA277" s="29"/>
      <c r="BB277" s="29"/>
      <c r="BC277" s="29"/>
      <c r="BD277" s="29"/>
      <c r="BE277" s="29"/>
      <c r="BF277" s="29"/>
      <c r="BG277" s="29"/>
      <c r="BH277" s="29"/>
    </row>
    <row r="278" spans="1:60" ht="14.25" customHeight="1" x14ac:dyDescent="0.3">
      <c r="A278" s="28"/>
      <c r="B278" s="29"/>
      <c r="C278" s="30"/>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29"/>
      <c r="AT278" s="29"/>
      <c r="AU278" s="29"/>
      <c r="AV278" s="29"/>
      <c r="AW278" s="29"/>
      <c r="AX278" s="29"/>
      <c r="AY278" s="29"/>
      <c r="AZ278" s="29"/>
      <c r="BA278" s="29"/>
      <c r="BB278" s="29"/>
      <c r="BC278" s="29"/>
      <c r="BD278" s="29"/>
      <c r="BE278" s="29"/>
      <c r="BF278" s="29"/>
      <c r="BG278" s="29"/>
      <c r="BH278" s="29"/>
    </row>
    <row r="279" spans="1:60" ht="14.25" customHeight="1" x14ac:dyDescent="0.3">
      <c r="A279" s="28"/>
      <c r="B279" s="29"/>
      <c r="C279" s="30"/>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c r="AV279" s="29"/>
      <c r="AW279" s="29"/>
      <c r="AX279" s="29"/>
      <c r="AY279" s="29"/>
      <c r="AZ279" s="29"/>
      <c r="BA279" s="29"/>
      <c r="BB279" s="29"/>
      <c r="BC279" s="29"/>
      <c r="BD279" s="29"/>
      <c r="BE279" s="29"/>
      <c r="BF279" s="29"/>
      <c r="BG279" s="29"/>
      <c r="BH279" s="29"/>
    </row>
    <row r="280" spans="1:60" ht="14.25" customHeight="1" x14ac:dyDescent="0.3">
      <c r="A280" s="28"/>
      <c r="B280" s="29"/>
      <c r="C280" s="30"/>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c r="AT280" s="29"/>
      <c r="AU280" s="29"/>
      <c r="AV280" s="29"/>
      <c r="AW280" s="29"/>
      <c r="AX280" s="29"/>
      <c r="AY280" s="29"/>
      <c r="AZ280" s="29"/>
      <c r="BA280" s="29"/>
      <c r="BB280" s="29"/>
      <c r="BC280" s="29"/>
      <c r="BD280" s="29"/>
      <c r="BE280" s="29"/>
      <c r="BF280" s="29"/>
      <c r="BG280" s="29"/>
      <c r="BH280" s="29"/>
    </row>
    <row r="281" spans="1:60" ht="14.25" customHeight="1" x14ac:dyDescent="0.3">
      <c r="A281" s="28"/>
      <c r="B281" s="29"/>
      <c r="C281" s="30"/>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c r="AV281" s="29"/>
      <c r="AW281" s="29"/>
      <c r="AX281" s="29"/>
      <c r="AY281" s="29"/>
      <c r="AZ281" s="29"/>
      <c r="BA281" s="29"/>
      <c r="BB281" s="29"/>
      <c r="BC281" s="29"/>
      <c r="BD281" s="29"/>
      <c r="BE281" s="29"/>
      <c r="BF281" s="29"/>
      <c r="BG281" s="29"/>
      <c r="BH281" s="29"/>
    </row>
    <row r="282" spans="1:60" ht="14.25" customHeight="1" x14ac:dyDescent="0.3">
      <c r="A282" s="28"/>
      <c r="B282" s="29"/>
      <c r="C282" s="30"/>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c r="AT282" s="29"/>
      <c r="AU282" s="29"/>
      <c r="AV282" s="29"/>
      <c r="AW282" s="29"/>
      <c r="AX282" s="29"/>
      <c r="AY282" s="29"/>
      <c r="AZ282" s="29"/>
      <c r="BA282" s="29"/>
      <c r="BB282" s="29"/>
      <c r="BC282" s="29"/>
      <c r="BD282" s="29"/>
      <c r="BE282" s="29"/>
      <c r="BF282" s="29"/>
      <c r="BG282" s="29"/>
      <c r="BH282" s="29"/>
    </row>
    <row r="283" spans="1:60" ht="14.25" customHeight="1" x14ac:dyDescent="0.3">
      <c r="A283" s="28"/>
      <c r="B283" s="29"/>
      <c r="C283" s="30"/>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c r="AV283" s="29"/>
      <c r="AW283" s="29"/>
      <c r="AX283" s="29"/>
      <c r="AY283" s="29"/>
      <c r="AZ283" s="29"/>
      <c r="BA283" s="29"/>
      <c r="BB283" s="29"/>
      <c r="BC283" s="29"/>
      <c r="BD283" s="29"/>
      <c r="BE283" s="29"/>
      <c r="BF283" s="29"/>
      <c r="BG283" s="29"/>
      <c r="BH283" s="29"/>
    </row>
    <row r="284" spans="1:60" ht="14.25" customHeight="1" x14ac:dyDescent="0.3">
      <c r="A284" s="28"/>
      <c r="B284" s="29"/>
      <c r="C284" s="30"/>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c r="AT284" s="29"/>
      <c r="AU284" s="29"/>
      <c r="AV284" s="29"/>
      <c r="AW284" s="29"/>
      <c r="AX284" s="29"/>
      <c r="AY284" s="29"/>
      <c r="AZ284" s="29"/>
      <c r="BA284" s="29"/>
      <c r="BB284" s="29"/>
      <c r="BC284" s="29"/>
      <c r="BD284" s="29"/>
      <c r="BE284" s="29"/>
      <c r="BF284" s="29"/>
      <c r="BG284" s="29"/>
      <c r="BH284" s="29"/>
    </row>
    <row r="285" spans="1:60" ht="14.25" customHeight="1" x14ac:dyDescent="0.3">
      <c r="A285" s="28"/>
      <c r="B285" s="29"/>
      <c r="C285" s="30"/>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c r="AV285" s="29"/>
      <c r="AW285" s="29"/>
      <c r="AX285" s="29"/>
      <c r="AY285" s="29"/>
      <c r="AZ285" s="29"/>
      <c r="BA285" s="29"/>
      <c r="BB285" s="29"/>
      <c r="BC285" s="29"/>
      <c r="BD285" s="29"/>
      <c r="BE285" s="29"/>
      <c r="BF285" s="29"/>
      <c r="BG285" s="29"/>
      <c r="BH285" s="29"/>
    </row>
    <row r="286" spans="1:60" ht="14.25" customHeight="1" x14ac:dyDescent="0.3">
      <c r="A286" s="28"/>
      <c r="B286" s="29"/>
      <c r="C286" s="30"/>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c r="AT286" s="29"/>
      <c r="AU286" s="29"/>
      <c r="AV286" s="29"/>
      <c r="AW286" s="29"/>
      <c r="AX286" s="29"/>
      <c r="AY286" s="29"/>
      <c r="AZ286" s="29"/>
      <c r="BA286" s="29"/>
      <c r="BB286" s="29"/>
      <c r="BC286" s="29"/>
      <c r="BD286" s="29"/>
      <c r="BE286" s="29"/>
      <c r="BF286" s="29"/>
      <c r="BG286" s="29"/>
      <c r="BH286" s="29"/>
    </row>
    <row r="287" spans="1:60" ht="14.25" customHeight="1" x14ac:dyDescent="0.3">
      <c r="A287" s="28"/>
      <c r="B287" s="29"/>
      <c r="C287" s="30"/>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c r="AV287" s="29"/>
      <c r="AW287" s="29"/>
      <c r="AX287" s="29"/>
      <c r="AY287" s="29"/>
      <c r="AZ287" s="29"/>
      <c r="BA287" s="29"/>
      <c r="BB287" s="29"/>
      <c r="BC287" s="29"/>
      <c r="BD287" s="29"/>
      <c r="BE287" s="29"/>
      <c r="BF287" s="29"/>
      <c r="BG287" s="29"/>
      <c r="BH287" s="29"/>
    </row>
    <row r="288" spans="1:60" ht="14.25" customHeight="1" x14ac:dyDescent="0.3">
      <c r="A288" s="28"/>
      <c r="B288" s="29"/>
      <c r="C288" s="30"/>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J288" s="29"/>
      <c r="AK288" s="29"/>
      <c r="AL288" s="29"/>
      <c r="AM288" s="29"/>
      <c r="AN288" s="29"/>
      <c r="AO288" s="29"/>
      <c r="AP288" s="29"/>
      <c r="AQ288" s="29"/>
      <c r="AR288" s="29"/>
      <c r="AS288" s="29"/>
      <c r="AT288" s="29"/>
      <c r="AU288" s="29"/>
      <c r="AV288" s="29"/>
      <c r="AW288" s="29"/>
      <c r="AX288" s="29"/>
      <c r="AY288" s="29"/>
      <c r="AZ288" s="29"/>
      <c r="BA288" s="29"/>
      <c r="BB288" s="29"/>
      <c r="BC288" s="29"/>
      <c r="BD288" s="29"/>
      <c r="BE288" s="29"/>
      <c r="BF288" s="29"/>
      <c r="BG288" s="29"/>
      <c r="BH288" s="29"/>
    </row>
    <row r="289" spans="1:60" ht="14.25" customHeight="1" x14ac:dyDescent="0.3">
      <c r="A289" s="28"/>
      <c r="B289" s="29"/>
      <c r="C289" s="30"/>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c r="AV289" s="29"/>
      <c r="AW289" s="29"/>
      <c r="AX289" s="29"/>
      <c r="AY289" s="29"/>
      <c r="AZ289" s="29"/>
      <c r="BA289" s="29"/>
      <c r="BB289" s="29"/>
      <c r="BC289" s="29"/>
      <c r="BD289" s="29"/>
      <c r="BE289" s="29"/>
      <c r="BF289" s="29"/>
      <c r="BG289" s="29"/>
      <c r="BH289" s="29"/>
    </row>
    <row r="290" spans="1:60" ht="14.25" customHeight="1" x14ac:dyDescent="0.3">
      <c r="A290" s="28"/>
      <c r="B290" s="29"/>
      <c r="C290" s="30"/>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J290" s="29"/>
      <c r="AK290" s="29"/>
      <c r="AL290" s="29"/>
      <c r="AM290" s="29"/>
      <c r="AN290" s="29"/>
      <c r="AO290" s="29"/>
      <c r="AP290" s="29"/>
      <c r="AQ290" s="29"/>
      <c r="AR290" s="29"/>
      <c r="AS290" s="29"/>
      <c r="AT290" s="29"/>
      <c r="AU290" s="29"/>
      <c r="AV290" s="29"/>
      <c r="AW290" s="29"/>
      <c r="AX290" s="29"/>
      <c r="AY290" s="29"/>
      <c r="AZ290" s="29"/>
      <c r="BA290" s="29"/>
      <c r="BB290" s="29"/>
      <c r="BC290" s="29"/>
      <c r="BD290" s="29"/>
      <c r="BE290" s="29"/>
      <c r="BF290" s="29"/>
      <c r="BG290" s="29"/>
      <c r="BH290" s="29"/>
    </row>
    <row r="291" spans="1:60" ht="14.25" customHeight="1" x14ac:dyDescent="0.3">
      <c r="A291" s="28"/>
      <c r="B291" s="29"/>
      <c r="C291" s="30"/>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c r="AV291" s="29"/>
      <c r="AW291" s="29"/>
      <c r="AX291" s="29"/>
      <c r="AY291" s="29"/>
      <c r="AZ291" s="29"/>
      <c r="BA291" s="29"/>
      <c r="BB291" s="29"/>
      <c r="BC291" s="29"/>
      <c r="BD291" s="29"/>
      <c r="BE291" s="29"/>
      <c r="BF291" s="29"/>
      <c r="BG291" s="29"/>
      <c r="BH291" s="29"/>
    </row>
    <row r="292" spans="1:60" ht="14.25" customHeight="1" x14ac:dyDescent="0.3">
      <c r="A292" s="28"/>
      <c r="B292" s="29"/>
      <c r="C292" s="30"/>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J292" s="29"/>
      <c r="AK292" s="29"/>
      <c r="AL292" s="29"/>
      <c r="AM292" s="29"/>
      <c r="AN292" s="29"/>
      <c r="AO292" s="29"/>
      <c r="AP292" s="29"/>
      <c r="AQ292" s="29"/>
      <c r="AR292" s="29"/>
      <c r="AS292" s="29"/>
      <c r="AT292" s="29"/>
      <c r="AU292" s="29"/>
      <c r="AV292" s="29"/>
      <c r="AW292" s="29"/>
      <c r="AX292" s="29"/>
      <c r="AY292" s="29"/>
      <c r="AZ292" s="29"/>
      <c r="BA292" s="29"/>
      <c r="BB292" s="29"/>
      <c r="BC292" s="29"/>
      <c r="BD292" s="29"/>
      <c r="BE292" s="29"/>
      <c r="BF292" s="29"/>
      <c r="BG292" s="29"/>
      <c r="BH292" s="29"/>
    </row>
    <row r="293" spans="1:60" ht="14.25" customHeight="1" x14ac:dyDescent="0.3">
      <c r="A293" s="28"/>
      <c r="B293" s="29"/>
      <c r="C293" s="30"/>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c r="AX293" s="29"/>
      <c r="AY293" s="29"/>
      <c r="AZ293" s="29"/>
      <c r="BA293" s="29"/>
      <c r="BB293" s="29"/>
      <c r="BC293" s="29"/>
      <c r="BD293" s="29"/>
      <c r="BE293" s="29"/>
      <c r="BF293" s="29"/>
      <c r="BG293" s="29"/>
      <c r="BH293" s="29"/>
    </row>
    <row r="294" spans="1:60" ht="14.25" customHeight="1" x14ac:dyDescent="0.3">
      <c r="A294" s="28"/>
      <c r="B294" s="29"/>
      <c r="C294" s="30"/>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J294" s="29"/>
      <c r="AK294" s="29"/>
      <c r="AL294" s="29"/>
      <c r="AM294" s="29"/>
      <c r="AN294" s="29"/>
      <c r="AO294" s="29"/>
      <c r="AP294" s="29"/>
      <c r="AQ294" s="29"/>
      <c r="AR294" s="29"/>
      <c r="AS294" s="29"/>
      <c r="AT294" s="29"/>
      <c r="AU294" s="29"/>
      <c r="AV294" s="29"/>
      <c r="AW294" s="29"/>
      <c r="AX294" s="29"/>
      <c r="AY294" s="29"/>
      <c r="AZ294" s="29"/>
      <c r="BA294" s="29"/>
      <c r="BB294" s="29"/>
      <c r="BC294" s="29"/>
      <c r="BD294" s="29"/>
      <c r="BE294" s="29"/>
      <c r="BF294" s="29"/>
      <c r="BG294" s="29"/>
      <c r="BH294" s="29"/>
    </row>
    <row r="295" spans="1:60" ht="14.25" customHeight="1" x14ac:dyDescent="0.3">
      <c r="A295" s="28"/>
      <c r="B295" s="29"/>
      <c r="C295" s="30"/>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c r="AV295" s="29"/>
      <c r="AW295" s="29"/>
      <c r="AX295" s="29"/>
      <c r="AY295" s="29"/>
      <c r="AZ295" s="29"/>
      <c r="BA295" s="29"/>
      <c r="BB295" s="29"/>
      <c r="BC295" s="29"/>
      <c r="BD295" s="29"/>
      <c r="BE295" s="29"/>
      <c r="BF295" s="29"/>
      <c r="BG295" s="29"/>
      <c r="BH295" s="29"/>
    </row>
    <row r="296" spans="1:60" ht="14.25" customHeight="1" x14ac:dyDescent="0.3">
      <c r="A296" s="28"/>
      <c r="B296" s="29"/>
      <c r="C296" s="30"/>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9"/>
      <c r="AK296" s="29"/>
      <c r="AL296" s="29"/>
      <c r="AM296" s="29"/>
      <c r="AN296" s="29"/>
      <c r="AO296" s="29"/>
      <c r="AP296" s="29"/>
      <c r="AQ296" s="29"/>
      <c r="AR296" s="29"/>
      <c r="AS296" s="29"/>
      <c r="AT296" s="29"/>
      <c r="AU296" s="29"/>
      <c r="AV296" s="29"/>
      <c r="AW296" s="29"/>
      <c r="AX296" s="29"/>
      <c r="AY296" s="29"/>
      <c r="AZ296" s="29"/>
      <c r="BA296" s="29"/>
      <c r="BB296" s="29"/>
      <c r="BC296" s="29"/>
      <c r="BD296" s="29"/>
      <c r="BE296" s="29"/>
      <c r="BF296" s="29"/>
      <c r="BG296" s="29"/>
      <c r="BH296" s="29"/>
    </row>
    <row r="297" spans="1:60" ht="14.25" customHeight="1" x14ac:dyDescent="0.3">
      <c r="A297" s="28"/>
      <c r="B297" s="29"/>
      <c r="C297" s="30"/>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c r="AV297" s="29"/>
      <c r="AW297" s="29"/>
      <c r="AX297" s="29"/>
      <c r="AY297" s="29"/>
      <c r="AZ297" s="29"/>
      <c r="BA297" s="29"/>
      <c r="BB297" s="29"/>
      <c r="BC297" s="29"/>
      <c r="BD297" s="29"/>
      <c r="BE297" s="29"/>
      <c r="BF297" s="29"/>
      <c r="BG297" s="29"/>
      <c r="BH297" s="29"/>
    </row>
    <row r="298" spans="1:60" ht="14.25" customHeight="1" x14ac:dyDescent="0.3">
      <c r="A298" s="28"/>
      <c r="B298" s="29"/>
      <c r="C298" s="30"/>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29"/>
      <c r="AI298" s="29"/>
      <c r="AJ298" s="29"/>
      <c r="AK298" s="29"/>
      <c r="AL298" s="29"/>
      <c r="AM298" s="29"/>
      <c r="AN298" s="29"/>
      <c r="AO298" s="29"/>
      <c r="AP298" s="29"/>
      <c r="AQ298" s="29"/>
      <c r="AR298" s="29"/>
      <c r="AS298" s="29"/>
      <c r="AT298" s="29"/>
      <c r="AU298" s="29"/>
      <c r="AV298" s="29"/>
      <c r="AW298" s="29"/>
      <c r="AX298" s="29"/>
      <c r="AY298" s="29"/>
      <c r="AZ298" s="29"/>
      <c r="BA298" s="29"/>
      <c r="BB298" s="29"/>
      <c r="BC298" s="29"/>
      <c r="BD298" s="29"/>
      <c r="BE298" s="29"/>
      <c r="BF298" s="29"/>
      <c r="BG298" s="29"/>
      <c r="BH298" s="29"/>
    </row>
    <row r="299" spans="1:60" ht="14.25" customHeight="1" x14ac:dyDescent="0.3">
      <c r="A299" s="28"/>
      <c r="B299" s="29"/>
      <c r="C299" s="30"/>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c r="AV299" s="29"/>
      <c r="AW299" s="29"/>
      <c r="AX299" s="29"/>
      <c r="AY299" s="29"/>
      <c r="AZ299" s="29"/>
      <c r="BA299" s="29"/>
      <c r="BB299" s="29"/>
      <c r="BC299" s="29"/>
      <c r="BD299" s="29"/>
      <c r="BE299" s="29"/>
      <c r="BF299" s="29"/>
      <c r="BG299" s="29"/>
      <c r="BH299" s="29"/>
    </row>
    <row r="300" spans="1:60" ht="14.25" customHeight="1" x14ac:dyDescent="0.3">
      <c r="A300" s="28"/>
      <c r="B300" s="29"/>
      <c r="C300" s="30"/>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J300" s="29"/>
      <c r="AK300" s="29"/>
      <c r="AL300" s="29"/>
      <c r="AM300" s="29"/>
      <c r="AN300" s="29"/>
      <c r="AO300" s="29"/>
      <c r="AP300" s="29"/>
      <c r="AQ300" s="29"/>
      <c r="AR300" s="29"/>
      <c r="AS300" s="29"/>
      <c r="AT300" s="29"/>
      <c r="AU300" s="29"/>
      <c r="AV300" s="29"/>
      <c r="AW300" s="29"/>
      <c r="AX300" s="29"/>
      <c r="AY300" s="29"/>
      <c r="AZ300" s="29"/>
      <c r="BA300" s="29"/>
      <c r="BB300" s="29"/>
      <c r="BC300" s="29"/>
      <c r="BD300" s="29"/>
      <c r="BE300" s="29"/>
      <c r="BF300" s="29"/>
      <c r="BG300" s="29"/>
      <c r="BH300" s="29"/>
    </row>
    <row r="301" spans="1:60" ht="14.25" customHeight="1" x14ac:dyDescent="0.3">
      <c r="A301" s="28"/>
      <c r="B301" s="29"/>
      <c r="C301" s="30"/>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c r="AV301" s="29"/>
      <c r="AW301" s="29"/>
      <c r="AX301" s="29"/>
      <c r="AY301" s="29"/>
      <c r="AZ301" s="29"/>
      <c r="BA301" s="29"/>
      <c r="BB301" s="29"/>
      <c r="BC301" s="29"/>
      <c r="BD301" s="29"/>
      <c r="BE301" s="29"/>
      <c r="BF301" s="29"/>
      <c r="BG301" s="29"/>
      <c r="BH301" s="29"/>
    </row>
    <row r="302" spans="1:60" ht="14.25" customHeight="1" x14ac:dyDescent="0.3">
      <c r="A302" s="28"/>
      <c r="B302" s="29"/>
      <c r="C302" s="30"/>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c r="AV302" s="29"/>
      <c r="AW302" s="29"/>
      <c r="AX302" s="29"/>
      <c r="AY302" s="29"/>
      <c r="AZ302" s="29"/>
      <c r="BA302" s="29"/>
      <c r="BB302" s="29"/>
      <c r="BC302" s="29"/>
      <c r="BD302" s="29"/>
      <c r="BE302" s="29"/>
      <c r="BF302" s="29"/>
      <c r="BG302" s="29"/>
      <c r="BH302" s="29"/>
    </row>
    <row r="303" spans="1:60" ht="14.25" customHeight="1" x14ac:dyDescent="0.3">
      <c r="A303" s="28"/>
      <c r="B303" s="29"/>
      <c r="C303" s="30"/>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c r="AV303" s="29"/>
      <c r="AW303" s="29"/>
      <c r="AX303" s="29"/>
      <c r="AY303" s="29"/>
      <c r="AZ303" s="29"/>
      <c r="BA303" s="29"/>
      <c r="BB303" s="29"/>
      <c r="BC303" s="29"/>
      <c r="BD303" s="29"/>
      <c r="BE303" s="29"/>
      <c r="BF303" s="29"/>
      <c r="BG303" s="29"/>
      <c r="BH303" s="29"/>
    </row>
    <row r="304" spans="1:60" ht="14.25" customHeight="1" x14ac:dyDescent="0.3">
      <c r="A304" s="28"/>
      <c r="B304" s="29"/>
      <c r="C304" s="30"/>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J304" s="29"/>
      <c r="AK304" s="29"/>
      <c r="AL304" s="29"/>
      <c r="AM304" s="29"/>
      <c r="AN304" s="29"/>
      <c r="AO304" s="29"/>
      <c r="AP304" s="29"/>
      <c r="AQ304" s="29"/>
      <c r="AR304" s="29"/>
      <c r="AS304" s="29"/>
      <c r="AT304" s="29"/>
      <c r="AU304" s="29"/>
      <c r="AV304" s="29"/>
      <c r="AW304" s="29"/>
      <c r="AX304" s="29"/>
      <c r="AY304" s="29"/>
      <c r="AZ304" s="29"/>
      <c r="BA304" s="29"/>
      <c r="BB304" s="29"/>
      <c r="BC304" s="29"/>
      <c r="BD304" s="29"/>
      <c r="BE304" s="29"/>
      <c r="BF304" s="29"/>
      <c r="BG304" s="29"/>
      <c r="BH304" s="29"/>
    </row>
    <row r="305" spans="1:60" ht="14.25" customHeight="1" x14ac:dyDescent="0.3">
      <c r="A305" s="28"/>
      <c r="B305" s="29"/>
      <c r="C305" s="30"/>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c r="AV305" s="29"/>
      <c r="AW305" s="29"/>
      <c r="AX305" s="29"/>
      <c r="AY305" s="29"/>
      <c r="AZ305" s="29"/>
      <c r="BA305" s="29"/>
      <c r="BB305" s="29"/>
      <c r="BC305" s="29"/>
      <c r="BD305" s="29"/>
      <c r="BE305" s="29"/>
      <c r="BF305" s="29"/>
      <c r="BG305" s="29"/>
      <c r="BH305" s="29"/>
    </row>
    <row r="306" spans="1:60" ht="14.25" customHeight="1" x14ac:dyDescent="0.3">
      <c r="A306" s="28"/>
      <c r="B306" s="29"/>
      <c r="C306" s="30"/>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J306" s="29"/>
      <c r="AK306" s="29"/>
      <c r="AL306" s="29"/>
      <c r="AM306" s="29"/>
      <c r="AN306" s="29"/>
      <c r="AO306" s="29"/>
      <c r="AP306" s="29"/>
      <c r="AQ306" s="29"/>
      <c r="AR306" s="29"/>
      <c r="AS306" s="29"/>
      <c r="AT306" s="29"/>
      <c r="AU306" s="29"/>
      <c r="AV306" s="29"/>
      <c r="AW306" s="29"/>
      <c r="AX306" s="29"/>
      <c r="AY306" s="29"/>
      <c r="AZ306" s="29"/>
      <c r="BA306" s="29"/>
      <c r="BB306" s="29"/>
      <c r="BC306" s="29"/>
      <c r="BD306" s="29"/>
      <c r="BE306" s="29"/>
      <c r="BF306" s="29"/>
      <c r="BG306" s="29"/>
      <c r="BH306" s="29"/>
    </row>
    <row r="307" spans="1:60" ht="14.25" customHeight="1" x14ac:dyDescent="0.3">
      <c r="A307" s="28"/>
      <c r="B307" s="29"/>
      <c r="C307" s="30"/>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c r="AV307" s="29"/>
      <c r="AW307" s="29"/>
      <c r="AX307" s="29"/>
      <c r="AY307" s="29"/>
      <c r="AZ307" s="29"/>
      <c r="BA307" s="29"/>
      <c r="BB307" s="29"/>
      <c r="BC307" s="29"/>
      <c r="BD307" s="29"/>
      <c r="BE307" s="29"/>
      <c r="BF307" s="29"/>
      <c r="BG307" s="29"/>
      <c r="BH307" s="29"/>
    </row>
    <row r="308" spans="1:60" ht="14.25" customHeight="1" x14ac:dyDescent="0.3">
      <c r="A308" s="28"/>
      <c r="B308" s="29"/>
      <c r="C308" s="30"/>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29"/>
      <c r="AI308" s="29"/>
      <c r="AJ308" s="29"/>
      <c r="AK308" s="29"/>
      <c r="AL308" s="29"/>
      <c r="AM308" s="29"/>
      <c r="AN308" s="29"/>
      <c r="AO308" s="29"/>
      <c r="AP308" s="29"/>
      <c r="AQ308" s="29"/>
      <c r="AR308" s="29"/>
      <c r="AS308" s="29"/>
      <c r="AT308" s="29"/>
      <c r="AU308" s="29"/>
      <c r="AV308" s="29"/>
      <c r="AW308" s="29"/>
      <c r="AX308" s="29"/>
      <c r="AY308" s="29"/>
      <c r="AZ308" s="29"/>
      <c r="BA308" s="29"/>
      <c r="BB308" s="29"/>
      <c r="BC308" s="29"/>
      <c r="BD308" s="29"/>
      <c r="BE308" s="29"/>
      <c r="BF308" s="29"/>
      <c r="BG308" s="29"/>
      <c r="BH308" s="29"/>
    </row>
    <row r="309" spans="1:60" ht="14.25" customHeight="1" x14ac:dyDescent="0.3">
      <c r="A309" s="28"/>
      <c r="B309" s="29"/>
      <c r="C309" s="30"/>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c r="AT309" s="29"/>
      <c r="AU309" s="29"/>
      <c r="AV309" s="29"/>
      <c r="AW309" s="29"/>
      <c r="AX309" s="29"/>
      <c r="AY309" s="29"/>
      <c r="AZ309" s="29"/>
      <c r="BA309" s="29"/>
      <c r="BB309" s="29"/>
      <c r="BC309" s="29"/>
      <c r="BD309" s="29"/>
      <c r="BE309" s="29"/>
      <c r="BF309" s="29"/>
      <c r="BG309" s="29"/>
      <c r="BH309" s="29"/>
    </row>
    <row r="310" spans="1:60" ht="14.25" customHeight="1" x14ac:dyDescent="0.3">
      <c r="A310" s="28"/>
      <c r="B310" s="29"/>
      <c r="C310" s="30"/>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c r="AT310" s="29"/>
      <c r="AU310" s="29"/>
      <c r="AV310" s="29"/>
      <c r="AW310" s="29"/>
      <c r="AX310" s="29"/>
      <c r="AY310" s="29"/>
      <c r="AZ310" s="29"/>
      <c r="BA310" s="29"/>
      <c r="BB310" s="29"/>
      <c r="BC310" s="29"/>
      <c r="BD310" s="29"/>
      <c r="BE310" s="29"/>
      <c r="BF310" s="29"/>
      <c r="BG310" s="29"/>
      <c r="BH310" s="29"/>
    </row>
    <row r="311" spans="1:60" ht="14.25" customHeight="1" x14ac:dyDescent="0.3">
      <c r="A311" s="28"/>
      <c r="B311" s="29"/>
      <c r="C311" s="30"/>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c r="AV311" s="29"/>
      <c r="AW311" s="29"/>
      <c r="AX311" s="29"/>
      <c r="AY311" s="29"/>
      <c r="AZ311" s="29"/>
      <c r="BA311" s="29"/>
      <c r="BB311" s="29"/>
      <c r="BC311" s="29"/>
      <c r="BD311" s="29"/>
      <c r="BE311" s="29"/>
      <c r="BF311" s="29"/>
      <c r="BG311" s="29"/>
      <c r="BH311" s="29"/>
    </row>
    <row r="312" spans="1:60" ht="14.25" customHeight="1" x14ac:dyDescent="0.3">
      <c r="A312" s="28"/>
      <c r="B312" s="29"/>
      <c r="C312" s="30"/>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c r="AH312" s="29"/>
      <c r="AI312" s="29"/>
      <c r="AJ312" s="29"/>
      <c r="AK312" s="29"/>
      <c r="AL312" s="29"/>
      <c r="AM312" s="29"/>
      <c r="AN312" s="29"/>
      <c r="AO312" s="29"/>
      <c r="AP312" s="29"/>
      <c r="AQ312" s="29"/>
      <c r="AR312" s="29"/>
      <c r="AS312" s="29"/>
      <c r="AT312" s="29"/>
      <c r="AU312" s="29"/>
      <c r="AV312" s="29"/>
      <c r="AW312" s="29"/>
      <c r="AX312" s="29"/>
      <c r="AY312" s="29"/>
      <c r="AZ312" s="29"/>
      <c r="BA312" s="29"/>
      <c r="BB312" s="29"/>
      <c r="BC312" s="29"/>
      <c r="BD312" s="29"/>
      <c r="BE312" s="29"/>
      <c r="BF312" s="29"/>
      <c r="BG312" s="29"/>
      <c r="BH312" s="29"/>
    </row>
    <row r="313" spans="1:60" ht="14.25" customHeight="1" x14ac:dyDescent="0.3">
      <c r="A313" s="28"/>
      <c r="B313" s="29"/>
      <c r="C313" s="30"/>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c r="AT313" s="29"/>
      <c r="AU313" s="29"/>
      <c r="AV313" s="29"/>
      <c r="AW313" s="29"/>
      <c r="AX313" s="29"/>
      <c r="AY313" s="29"/>
      <c r="AZ313" s="29"/>
      <c r="BA313" s="29"/>
      <c r="BB313" s="29"/>
      <c r="BC313" s="29"/>
      <c r="BD313" s="29"/>
      <c r="BE313" s="29"/>
      <c r="BF313" s="29"/>
      <c r="BG313" s="29"/>
      <c r="BH313" s="29"/>
    </row>
    <row r="314" spans="1:60" ht="14.25" customHeight="1" x14ac:dyDescent="0.3">
      <c r="A314" s="28"/>
      <c r="B314" s="29"/>
      <c r="C314" s="30"/>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J314" s="29"/>
      <c r="AK314" s="29"/>
      <c r="AL314" s="29"/>
      <c r="AM314" s="29"/>
      <c r="AN314" s="29"/>
      <c r="AO314" s="29"/>
      <c r="AP314" s="29"/>
      <c r="AQ314" s="29"/>
      <c r="AR314" s="29"/>
      <c r="AS314" s="29"/>
      <c r="AT314" s="29"/>
      <c r="AU314" s="29"/>
      <c r="AV314" s="29"/>
      <c r="AW314" s="29"/>
      <c r="AX314" s="29"/>
      <c r="AY314" s="29"/>
      <c r="AZ314" s="29"/>
      <c r="BA314" s="29"/>
      <c r="BB314" s="29"/>
      <c r="BC314" s="29"/>
      <c r="BD314" s="29"/>
      <c r="BE314" s="29"/>
      <c r="BF314" s="29"/>
      <c r="BG314" s="29"/>
      <c r="BH314" s="29"/>
    </row>
    <row r="315" spans="1:60" ht="14.25" customHeight="1" x14ac:dyDescent="0.3">
      <c r="A315" s="28"/>
      <c r="B315" s="29"/>
      <c r="C315" s="30"/>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c r="AO315" s="29"/>
      <c r="AP315" s="29"/>
      <c r="AQ315" s="29"/>
      <c r="AR315" s="29"/>
      <c r="AS315" s="29"/>
      <c r="AT315" s="29"/>
      <c r="AU315" s="29"/>
      <c r="AV315" s="29"/>
      <c r="AW315" s="29"/>
      <c r="AX315" s="29"/>
      <c r="AY315" s="29"/>
      <c r="AZ315" s="29"/>
      <c r="BA315" s="29"/>
      <c r="BB315" s="29"/>
      <c r="BC315" s="29"/>
      <c r="BD315" s="29"/>
      <c r="BE315" s="29"/>
      <c r="BF315" s="29"/>
      <c r="BG315" s="29"/>
      <c r="BH315" s="29"/>
    </row>
    <row r="316" spans="1:60" ht="14.25" customHeight="1" x14ac:dyDescent="0.3">
      <c r="A316" s="28"/>
      <c r="B316" s="29"/>
      <c r="C316" s="30"/>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c r="AK316" s="29"/>
      <c r="AL316" s="29"/>
      <c r="AM316" s="29"/>
      <c r="AN316" s="29"/>
      <c r="AO316" s="29"/>
      <c r="AP316" s="29"/>
      <c r="AQ316" s="29"/>
      <c r="AR316" s="29"/>
      <c r="AS316" s="29"/>
      <c r="AT316" s="29"/>
      <c r="AU316" s="29"/>
      <c r="AV316" s="29"/>
      <c r="AW316" s="29"/>
      <c r="AX316" s="29"/>
      <c r="AY316" s="29"/>
      <c r="AZ316" s="29"/>
      <c r="BA316" s="29"/>
      <c r="BB316" s="29"/>
      <c r="BC316" s="29"/>
      <c r="BD316" s="29"/>
      <c r="BE316" s="29"/>
      <c r="BF316" s="29"/>
      <c r="BG316" s="29"/>
      <c r="BH316" s="29"/>
    </row>
    <row r="317" spans="1:60" ht="14.25" customHeight="1" x14ac:dyDescent="0.3">
      <c r="A317" s="28"/>
      <c r="B317" s="29"/>
      <c r="C317" s="30"/>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c r="AT317" s="29"/>
      <c r="AU317" s="29"/>
      <c r="AV317" s="29"/>
      <c r="AW317" s="29"/>
      <c r="AX317" s="29"/>
      <c r="AY317" s="29"/>
      <c r="AZ317" s="29"/>
      <c r="BA317" s="29"/>
      <c r="BB317" s="29"/>
      <c r="BC317" s="29"/>
      <c r="BD317" s="29"/>
      <c r="BE317" s="29"/>
      <c r="BF317" s="29"/>
      <c r="BG317" s="29"/>
      <c r="BH317" s="29"/>
    </row>
    <row r="318" spans="1:60" ht="14.25" customHeight="1" x14ac:dyDescent="0.3">
      <c r="A318" s="28"/>
      <c r="B318" s="29"/>
      <c r="C318" s="30"/>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J318" s="29"/>
      <c r="AK318" s="29"/>
      <c r="AL318" s="29"/>
      <c r="AM318" s="29"/>
      <c r="AN318" s="29"/>
      <c r="AO318" s="29"/>
      <c r="AP318" s="29"/>
      <c r="AQ318" s="29"/>
      <c r="AR318" s="29"/>
      <c r="AS318" s="29"/>
      <c r="AT318" s="29"/>
      <c r="AU318" s="29"/>
      <c r="AV318" s="29"/>
      <c r="AW318" s="29"/>
      <c r="AX318" s="29"/>
      <c r="AY318" s="29"/>
      <c r="AZ318" s="29"/>
      <c r="BA318" s="29"/>
      <c r="BB318" s="29"/>
      <c r="BC318" s="29"/>
      <c r="BD318" s="29"/>
      <c r="BE318" s="29"/>
      <c r="BF318" s="29"/>
      <c r="BG318" s="29"/>
      <c r="BH318" s="29"/>
    </row>
    <row r="319" spans="1:60" ht="14.25" customHeight="1" x14ac:dyDescent="0.3">
      <c r="A319" s="28"/>
      <c r="B319" s="29"/>
      <c r="C319" s="30"/>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c r="AO319" s="29"/>
      <c r="AP319" s="29"/>
      <c r="AQ319" s="29"/>
      <c r="AR319" s="29"/>
      <c r="AS319" s="29"/>
      <c r="AT319" s="29"/>
      <c r="AU319" s="29"/>
      <c r="AV319" s="29"/>
      <c r="AW319" s="29"/>
      <c r="AX319" s="29"/>
      <c r="AY319" s="29"/>
      <c r="AZ319" s="29"/>
      <c r="BA319" s="29"/>
      <c r="BB319" s="29"/>
      <c r="BC319" s="29"/>
      <c r="BD319" s="29"/>
      <c r="BE319" s="29"/>
      <c r="BF319" s="29"/>
      <c r="BG319" s="29"/>
      <c r="BH319" s="29"/>
    </row>
    <row r="320" spans="1:60" ht="14.25" customHeight="1" x14ac:dyDescent="0.3">
      <c r="A320" s="28"/>
      <c r="B320" s="29"/>
      <c r="C320" s="30"/>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c r="AK320" s="29"/>
      <c r="AL320" s="29"/>
      <c r="AM320" s="29"/>
      <c r="AN320" s="29"/>
      <c r="AO320" s="29"/>
      <c r="AP320" s="29"/>
      <c r="AQ320" s="29"/>
      <c r="AR320" s="29"/>
      <c r="AS320" s="29"/>
      <c r="AT320" s="29"/>
      <c r="AU320" s="29"/>
      <c r="AV320" s="29"/>
      <c r="AW320" s="29"/>
      <c r="AX320" s="29"/>
      <c r="AY320" s="29"/>
      <c r="AZ320" s="29"/>
      <c r="BA320" s="29"/>
      <c r="BB320" s="29"/>
      <c r="BC320" s="29"/>
      <c r="BD320" s="29"/>
      <c r="BE320" s="29"/>
      <c r="BF320" s="29"/>
      <c r="BG320" s="29"/>
      <c r="BH320" s="29"/>
    </row>
    <row r="321" spans="1:60" ht="14.25" customHeight="1" x14ac:dyDescent="0.3">
      <c r="A321" s="28"/>
      <c r="B321" s="29"/>
      <c r="C321" s="30"/>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c r="AT321" s="29"/>
      <c r="AU321" s="29"/>
      <c r="AV321" s="29"/>
      <c r="AW321" s="29"/>
      <c r="AX321" s="29"/>
      <c r="AY321" s="29"/>
      <c r="AZ321" s="29"/>
      <c r="BA321" s="29"/>
      <c r="BB321" s="29"/>
      <c r="BC321" s="29"/>
      <c r="BD321" s="29"/>
      <c r="BE321" s="29"/>
      <c r="BF321" s="29"/>
      <c r="BG321" s="29"/>
      <c r="BH321" s="29"/>
    </row>
    <row r="322" spans="1:60" ht="14.25" customHeight="1" x14ac:dyDescent="0.3">
      <c r="A322" s="28"/>
      <c r="B322" s="29"/>
      <c r="C322" s="30"/>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c r="AH322" s="29"/>
      <c r="AI322" s="29"/>
      <c r="AJ322" s="29"/>
      <c r="AK322" s="29"/>
      <c r="AL322" s="29"/>
      <c r="AM322" s="29"/>
      <c r="AN322" s="29"/>
      <c r="AO322" s="29"/>
      <c r="AP322" s="29"/>
      <c r="AQ322" s="29"/>
      <c r="AR322" s="29"/>
      <c r="AS322" s="29"/>
      <c r="AT322" s="29"/>
      <c r="AU322" s="29"/>
      <c r="AV322" s="29"/>
      <c r="AW322" s="29"/>
      <c r="AX322" s="29"/>
      <c r="AY322" s="29"/>
      <c r="AZ322" s="29"/>
      <c r="BA322" s="29"/>
      <c r="BB322" s="29"/>
      <c r="BC322" s="29"/>
      <c r="BD322" s="29"/>
      <c r="BE322" s="29"/>
      <c r="BF322" s="29"/>
      <c r="BG322" s="29"/>
      <c r="BH322" s="29"/>
    </row>
    <row r="323" spans="1:60" ht="14.25" customHeight="1" x14ac:dyDescent="0.3">
      <c r="A323" s="28"/>
      <c r="B323" s="29"/>
      <c r="C323" s="30"/>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c r="AT323" s="29"/>
      <c r="AU323" s="29"/>
      <c r="AV323" s="29"/>
      <c r="AW323" s="29"/>
      <c r="AX323" s="29"/>
      <c r="AY323" s="29"/>
      <c r="AZ323" s="29"/>
      <c r="BA323" s="29"/>
      <c r="BB323" s="29"/>
      <c r="BC323" s="29"/>
      <c r="BD323" s="29"/>
      <c r="BE323" s="29"/>
      <c r="BF323" s="29"/>
      <c r="BG323" s="29"/>
      <c r="BH323" s="29"/>
    </row>
    <row r="324" spans="1:60" ht="14.25" customHeight="1" x14ac:dyDescent="0.3">
      <c r="A324" s="28"/>
      <c r="B324" s="29"/>
      <c r="C324" s="30"/>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c r="AH324" s="29"/>
      <c r="AI324" s="29"/>
      <c r="AJ324" s="29"/>
      <c r="AK324" s="29"/>
      <c r="AL324" s="29"/>
      <c r="AM324" s="29"/>
      <c r="AN324" s="29"/>
      <c r="AO324" s="29"/>
      <c r="AP324" s="29"/>
      <c r="AQ324" s="29"/>
      <c r="AR324" s="29"/>
      <c r="AS324" s="29"/>
      <c r="AT324" s="29"/>
      <c r="AU324" s="29"/>
      <c r="AV324" s="29"/>
      <c r="AW324" s="29"/>
      <c r="AX324" s="29"/>
      <c r="AY324" s="29"/>
      <c r="AZ324" s="29"/>
      <c r="BA324" s="29"/>
      <c r="BB324" s="29"/>
      <c r="BC324" s="29"/>
      <c r="BD324" s="29"/>
      <c r="BE324" s="29"/>
      <c r="BF324" s="29"/>
      <c r="BG324" s="29"/>
      <c r="BH324" s="29"/>
    </row>
    <row r="325" spans="1:60" ht="14.25" customHeight="1" x14ac:dyDescent="0.3">
      <c r="A325" s="28"/>
      <c r="B325" s="29"/>
      <c r="C325" s="30"/>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c r="AV325" s="29"/>
      <c r="AW325" s="29"/>
      <c r="AX325" s="29"/>
      <c r="AY325" s="29"/>
      <c r="AZ325" s="29"/>
      <c r="BA325" s="29"/>
      <c r="BB325" s="29"/>
      <c r="BC325" s="29"/>
      <c r="BD325" s="29"/>
      <c r="BE325" s="29"/>
      <c r="BF325" s="29"/>
      <c r="BG325" s="29"/>
      <c r="BH325" s="29"/>
    </row>
    <row r="326" spans="1:60" ht="14.25" customHeight="1" x14ac:dyDescent="0.3">
      <c r="A326" s="28"/>
      <c r="B326" s="29"/>
      <c r="C326" s="30"/>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c r="AH326" s="29"/>
      <c r="AI326" s="29"/>
      <c r="AJ326" s="29"/>
      <c r="AK326" s="29"/>
      <c r="AL326" s="29"/>
      <c r="AM326" s="29"/>
      <c r="AN326" s="29"/>
      <c r="AO326" s="29"/>
      <c r="AP326" s="29"/>
      <c r="AQ326" s="29"/>
      <c r="AR326" s="29"/>
      <c r="AS326" s="29"/>
      <c r="AT326" s="29"/>
      <c r="AU326" s="29"/>
      <c r="AV326" s="29"/>
      <c r="AW326" s="29"/>
      <c r="AX326" s="29"/>
      <c r="AY326" s="29"/>
      <c r="AZ326" s="29"/>
      <c r="BA326" s="29"/>
      <c r="BB326" s="29"/>
      <c r="BC326" s="29"/>
      <c r="BD326" s="29"/>
      <c r="BE326" s="29"/>
      <c r="BF326" s="29"/>
      <c r="BG326" s="29"/>
      <c r="BH326" s="29"/>
    </row>
    <row r="327" spans="1:60" ht="14.25" customHeight="1" x14ac:dyDescent="0.3">
      <c r="A327" s="28"/>
      <c r="B327" s="29"/>
      <c r="C327" s="30"/>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c r="AT327" s="29"/>
      <c r="AU327" s="29"/>
      <c r="AV327" s="29"/>
      <c r="AW327" s="29"/>
      <c r="AX327" s="29"/>
      <c r="AY327" s="29"/>
      <c r="AZ327" s="29"/>
      <c r="BA327" s="29"/>
      <c r="BB327" s="29"/>
      <c r="BC327" s="29"/>
      <c r="BD327" s="29"/>
      <c r="BE327" s="29"/>
      <c r="BF327" s="29"/>
      <c r="BG327" s="29"/>
      <c r="BH327" s="29"/>
    </row>
    <row r="328" spans="1:60" ht="14.25" customHeight="1" x14ac:dyDescent="0.3">
      <c r="A328" s="28"/>
      <c r="B328" s="29"/>
      <c r="C328" s="30"/>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c r="AK328" s="29"/>
      <c r="AL328" s="29"/>
      <c r="AM328" s="29"/>
      <c r="AN328" s="29"/>
      <c r="AO328" s="29"/>
      <c r="AP328" s="29"/>
      <c r="AQ328" s="29"/>
      <c r="AR328" s="29"/>
      <c r="AS328" s="29"/>
      <c r="AT328" s="29"/>
      <c r="AU328" s="29"/>
      <c r="AV328" s="29"/>
      <c r="AW328" s="29"/>
      <c r="AX328" s="29"/>
      <c r="AY328" s="29"/>
      <c r="AZ328" s="29"/>
      <c r="BA328" s="29"/>
      <c r="BB328" s="29"/>
      <c r="BC328" s="29"/>
      <c r="BD328" s="29"/>
      <c r="BE328" s="29"/>
      <c r="BF328" s="29"/>
      <c r="BG328" s="29"/>
      <c r="BH328" s="29"/>
    </row>
    <row r="329" spans="1:60" ht="14.25" customHeight="1" x14ac:dyDescent="0.3">
      <c r="A329" s="28"/>
      <c r="B329" s="29"/>
      <c r="C329" s="30"/>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c r="AT329" s="29"/>
      <c r="AU329" s="29"/>
      <c r="AV329" s="29"/>
      <c r="AW329" s="29"/>
      <c r="AX329" s="29"/>
      <c r="AY329" s="29"/>
      <c r="AZ329" s="29"/>
      <c r="BA329" s="29"/>
      <c r="BB329" s="29"/>
      <c r="BC329" s="29"/>
      <c r="BD329" s="29"/>
      <c r="BE329" s="29"/>
      <c r="BF329" s="29"/>
      <c r="BG329" s="29"/>
      <c r="BH329" s="29"/>
    </row>
    <row r="330" spans="1:60" ht="14.25" customHeight="1" x14ac:dyDescent="0.3">
      <c r="A330" s="28"/>
      <c r="B330" s="29"/>
      <c r="C330" s="30"/>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c r="AK330" s="29"/>
      <c r="AL330" s="29"/>
      <c r="AM330" s="29"/>
      <c r="AN330" s="29"/>
      <c r="AO330" s="29"/>
      <c r="AP330" s="29"/>
      <c r="AQ330" s="29"/>
      <c r="AR330" s="29"/>
      <c r="AS330" s="29"/>
      <c r="AT330" s="29"/>
      <c r="AU330" s="29"/>
      <c r="AV330" s="29"/>
      <c r="AW330" s="29"/>
      <c r="AX330" s="29"/>
      <c r="AY330" s="29"/>
      <c r="AZ330" s="29"/>
      <c r="BA330" s="29"/>
      <c r="BB330" s="29"/>
      <c r="BC330" s="29"/>
      <c r="BD330" s="29"/>
      <c r="BE330" s="29"/>
      <c r="BF330" s="29"/>
      <c r="BG330" s="29"/>
      <c r="BH330" s="29"/>
    </row>
    <row r="331" spans="1:60" ht="14.25" customHeight="1" x14ac:dyDescent="0.3">
      <c r="A331" s="28"/>
      <c r="B331" s="29"/>
      <c r="C331" s="30"/>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c r="AT331" s="29"/>
      <c r="AU331" s="29"/>
      <c r="AV331" s="29"/>
      <c r="AW331" s="29"/>
      <c r="AX331" s="29"/>
      <c r="AY331" s="29"/>
      <c r="AZ331" s="29"/>
      <c r="BA331" s="29"/>
      <c r="BB331" s="29"/>
      <c r="BC331" s="29"/>
      <c r="BD331" s="29"/>
      <c r="BE331" s="29"/>
      <c r="BF331" s="29"/>
      <c r="BG331" s="29"/>
      <c r="BH331" s="29"/>
    </row>
    <row r="332" spans="1:60" ht="14.25" customHeight="1" x14ac:dyDescent="0.3">
      <c r="A332" s="28"/>
      <c r="B332" s="29"/>
      <c r="C332" s="30"/>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c r="AK332" s="29"/>
      <c r="AL332" s="29"/>
      <c r="AM332" s="29"/>
      <c r="AN332" s="29"/>
      <c r="AO332" s="29"/>
      <c r="AP332" s="29"/>
      <c r="AQ332" s="29"/>
      <c r="AR332" s="29"/>
      <c r="AS332" s="29"/>
      <c r="AT332" s="29"/>
      <c r="AU332" s="29"/>
      <c r="AV332" s="29"/>
      <c r="AW332" s="29"/>
      <c r="AX332" s="29"/>
      <c r="AY332" s="29"/>
      <c r="AZ332" s="29"/>
      <c r="BA332" s="29"/>
      <c r="BB332" s="29"/>
      <c r="BC332" s="29"/>
      <c r="BD332" s="29"/>
      <c r="BE332" s="29"/>
      <c r="BF332" s="29"/>
      <c r="BG332" s="29"/>
      <c r="BH332" s="29"/>
    </row>
    <row r="333" spans="1:60" ht="14.25" customHeight="1" x14ac:dyDescent="0.3">
      <c r="A333" s="28"/>
      <c r="B333" s="29"/>
      <c r="C333" s="30"/>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c r="AV333" s="29"/>
      <c r="AW333" s="29"/>
      <c r="AX333" s="29"/>
      <c r="AY333" s="29"/>
      <c r="AZ333" s="29"/>
      <c r="BA333" s="29"/>
      <c r="BB333" s="29"/>
      <c r="BC333" s="29"/>
      <c r="BD333" s="29"/>
      <c r="BE333" s="29"/>
      <c r="BF333" s="29"/>
      <c r="BG333" s="29"/>
      <c r="BH333" s="29"/>
    </row>
    <row r="334" spans="1:60" ht="14.25" customHeight="1" x14ac:dyDescent="0.3">
      <c r="A334" s="28"/>
      <c r="B334" s="29"/>
      <c r="C334" s="30"/>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c r="AK334" s="29"/>
      <c r="AL334" s="29"/>
      <c r="AM334" s="29"/>
      <c r="AN334" s="29"/>
      <c r="AO334" s="29"/>
      <c r="AP334" s="29"/>
      <c r="AQ334" s="29"/>
      <c r="AR334" s="29"/>
      <c r="AS334" s="29"/>
      <c r="AT334" s="29"/>
      <c r="AU334" s="29"/>
      <c r="AV334" s="29"/>
      <c r="AW334" s="29"/>
      <c r="AX334" s="29"/>
      <c r="AY334" s="29"/>
      <c r="AZ334" s="29"/>
      <c r="BA334" s="29"/>
      <c r="BB334" s="29"/>
      <c r="BC334" s="29"/>
      <c r="BD334" s="29"/>
      <c r="BE334" s="29"/>
      <c r="BF334" s="29"/>
      <c r="BG334" s="29"/>
      <c r="BH334" s="29"/>
    </row>
    <row r="335" spans="1:60" ht="14.25" customHeight="1" x14ac:dyDescent="0.3">
      <c r="A335" s="28"/>
      <c r="B335" s="29"/>
      <c r="C335" s="30"/>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c r="AT335" s="29"/>
      <c r="AU335" s="29"/>
      <c r="AV335" s="29"/>
      <c r="AW335" s="29"/>
      <c r="AX335" s="29"/>
      <c r="AY335" s="29"/>
      <c r="AZ335" s="29"/>
      <c r="BA335" s="29"/>
      <c r="BB335" s="29"/>
      <c r="BC335" s="29"/>
      <c r="BD335" s="29"/>
      <c r="BE335" s="29"/>
      <c r="BF335" s="29"/>
      <c r="BG335" s="29"/>
      <c r="BH335" s="29"/>
    </row>
    <row r="336" spans="1:60" ht="14.25" customHeight="1" x14ac:dyDescent="0.3">
      <c r="A336" s="28"/>
      <c r="B336" s="29"/>
      <c r="C336" s="30"/>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c r="AN336" s="29"/>
      <c r="AO336" s="29"/>
      <c r="AP336" s="29"/>
      <c r="AQ336" s="29"/>
      <c r="AR336" s="29"/>
      <c r="AS336" s="29"/>
      <c r="AT336" s="29"/>
      <c r="AU336" s="29"/>
      <c r="AV336" s="29"/>
      <c r="AW336" s="29"/>
      <c r="AX336" s="29"/>
      <c r="AY336" s="29"/>
      <c r="AZ336" s="29"/>
      <c r="BA336" s="29"/>
      <c r="BB336" s="29"/>
      <c r="BC336" s="29"/>
      <c r="BD336" s="29"/>
      <c r="BE336" s="29"/>
      <c r="BF336" s="29"/>
      <c r="BG336" s="29"/>
      <c r="BH336" s="29"/>
    </row>
    <row r="337" spans="1:60" ht="14.25" customHeight="1" x14ac:dyDescent="0.3">
      <c r="A337" s="28"/>
      <c r="B337" s="29"/>
      <c r="C337" s="30"/>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c r="AT337" s="29"/>
      <c r="AU337" s="29"/>
      <c r="AV337" s="29"/>
      <c r="AW337" s="29"/>
      <c r="AX337" s="29"/>
      <c r="AY337" s="29"/>
      <c r="AZ337" s="29"/>
      <c r="BA337" s="29"/>
      <c r="BB337" s="29"/>
      <c r="BC337" s="29"/>
      <c r="BD337" s="29"/>
      <c r="BE337" s="29"/>
      <c r="BF337" s="29"/>
      <c r="BG337" s="29"/>
      <c r="BH337" s="29"/>
    </row>
    <row r="338" spans="1:60" ht="14.25" customHeight="1" x14ac:dyDescent="0.3">
      <c r="A338" s="28"/>
      <c r="B338" s="29"/>
      <c r="C338" s="30"/>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c r="AK338" s="29"/>
      <c r="AL338" s="29"/>
      <c r="AM338" s="29"/>
      <c r="AN338" s="29"/>
      <c r="AO338" s="29"/>
      <c r="AP338" s="29"/>
      <c r="AQ338" s="29"/>
      <c r="AR338" s="29"/>
      <c r="AS338" s="29"/>
      <c r="AT338" s="29"/>
      <c r="AU338" s="29"/>
      <c r="AV338" s="29"/>
      <c r="AW338" s="29"/>
      <c r="AX338" s="29"/>
      <c r="AY338" s="29"/>
      <c r="AZ338" s="29"/>
      <c r="BA338" s="29"/>
      <c r="BB338" s="29"/>
      <c r="BC338" s="29"/>
      <c r="BD338" s="29"/>
      <c r="BE338" s="29"/>
      <c r="BF338" s="29"/>
      <c r="BG338" s="29"/>
      <c r="BH338" s="29"/>
    </row>
    <row r="339" spans="1:60" ht="14.25" customHeight="1" x14ac:dyDescent="0.3">
      <c r="A339" s="28"/>
      <c r="B339" s="29"/>
      <c r="C339" s="30"/>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c r="AT339" s="29"/>
      <c r="AU339" s="29"/>
      <c r="AV339" s="29"/>
      <c r="AW339" s="29"/>
      <c r="AX339" s="29"/>
      <c r="AY339" s="29"/>
      <c r="AZ339" s="29"/>
      <c r="BA339" s="29"/>
      <c r="BB339" s="29"/>
      <c r="BC339" s="29"/>
      <c r="BD339" s="29"/>
      <c r="BE339" s="29"/>
      <c r="BF339" s="29"/>
      <c r="BG339" s="29"/>
      <c r="BH339" s="29"/>
    </row>
    <row r="340" spans="1:60" ht="14.25" customHeight="1" x14ac:dyDescent="0.3">
      <c r="A340" s="28"/>
      <c r="B340" s="29"/>
      <c r="C340" s="30"/>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c r="AK340" s="29"/>
      <c r="AL340" s="29"/>
      <c r="AM340" s="29"/>
      <c r="AN340" s="29"/>
      <c r="AO340" s="29"/>
      <c r="AP340" s="29"/>
      <c r="AQ340" s="29"/>
      <c r="AR340" s="29"/>
      <c r="AS340" s="29"/>
      <c r="AT340" s="29"/>
      <c r="AU340" s="29"/>
      <c r="AV340" s="29"/>
      <c r="AW340" s="29"/>
      <c r="AX340" s="29"/>
      <c r="AY340" s="29"/>
      <c r="AZ340" s="29"/>
      <c r="BA340" s="29"/>
      <c r="BB340" s="29"/>
      <c r="BC340" s="29"/>
      <c r="BD340" s="29"/>
      <c r="BE340" s="29"/>
      <c r="BF340" s="29"/>
      <c r="BG340" s="29"/>
      <c r="BH340" s="29"/>
    </row>
    <row r="341" spans="1:60" ht="14.25" customHeight="1" x14ac:dyDescent="0.3">
      <c r="A341" s="28"/>
      <c r="B341" s="29"/>
      <c r="C341" s="30"/>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c r="AT341" s="29"/>
      <c r="AU341" s="29"/>
      <c r="AV341" s="29"/>
      <c r="AW341" s="29"/>
      <c r="AX341" s="29"/>
      <c r="AY341" s="29"/>
      <c r="AZ341" s="29"/>
      <c r="BA341" s="29"/>
      <c r="BB341" s="29"/>
      <c r="BC341" s="29"/>
      <c r="BD341" s="29"/>
      <c r="BE341" s="29"/>
      <c r="BF341" s="29"/>
      <c r="BG341" s="29"/>
      <c r="BH341" s="29"/>
    </row>
    <row r="342" spans="1:60" ht="14.25" customHeight="1" x14ac:dyDescent="0.3">
      <c r="A342" s="28"/>
      <c r="B342" s="29"/>
      <c r="C342" s="30"/>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c r="AO342" s="29"/>
      <c r="AP342" s="29"/>
      <c r="AQ342" s="29"/>
      <c r="AR342" s="29"/>
      <c r="AS342" s="29"/>
      <c r="AT342" s="29"/>
      <c r="AU342" s="29"/>
      <c r="AV342" s="29"/>
      <c r="AW342" s="29"/>
      <c r="AX342" s="29"/>
      <c r="AY342" s="29"/>
      <c r="AZ342" s="29"/>
      <c r="BA342" s="29"/>
      <c r="BB342" s="29"/>
      <c r="BC342" s="29"/>
      <c r="BD342" s="29"/>
      <c r="BE342" s="29"/>
      <c r="BF342" s="29"/>
      <c r="BG342" s="29"/>
      <c r="BH342" s="29"/>
    </row>
    <row r="343" spans="1:60" ht="14.25" customHeight="1" x14ac:dyDescent="0.3">
      <c r="A343" s="28"/>
      <c r="B343" s="29"/>
      <c r="C343" s="30"/>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c r="AV343" s="29"/>
      <c r="AW343" s="29"/>
      <c r="AX343" s="29"/>
      <c r="AY343" s="29"/>
      <c r="AZ343" s="29"/>
      <c r="BA343" s="29"/>
      <c r="BB343" s="29"/>
      <c r="BC343" s="29"/>
      <c r="BD343" s="29"/>
      <c r="BE343" s="29"/>
      <c r="BF343" s="29"/>
      <c r="BG343" s="29"/>
      <c r="BH343" s="29"/>
    </row>
    <row r="344" spans="1:60" ht="14.25" customHeight="1" x14ac:dyDescent="0.3">
      <c r="A344" s="28"/>
      <c r="B344" s="29"/>
      <c r="C344" s="30"/>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c r="AP344" s="29"/>
      <c r="AQ344" s="29"/>
      <c r="AR344" s="29"/>
      <c r="AS344" s="29"/>
      <c r="AT344" s="29"/>
      <c r="AU344" s="29"/>
      <c r="AV344" s="29"/>
      <c r="AW344" s="29"/>
      <c r="AX344" s="29"/>
      <c r="AY344" s="29"/>
      <c r="AZ344" s="29"/>
      <c r="BA344" s="29"/>
      <c r="BB344" s="29"/>
      <c r="BC344" s="29"/>
      <c r="BD344" s="29"/>
      <c r="BE344" s="29"/>
      <c r="BF344" s="29"/>
      <c r="BG344" s="29"/>
      <c r="BH344" s="29"/>
    </row>
    <row r="345" spans="1:60" ht="14.25" customHeight="1" x14ac:dyDescent="0.3">
      <c r="A345" s="28"/>
      <c r="B345" s="29"/>
      <c r="C345" s="30"/>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c r="AV345" s="29"/>
      <c r="AW345" s="29"/>
      <c r="AX345" s="29"/>
      <c r="AY345" s="29"/>
      <c r="AZ345" s="29"/>
      <c r="BA345" s="29"/>
      <c r="BB345" s="29"/>
      <c r="BC345" s="29"/>
      <c r="BD345" s="29"/>
      <c r="BE345" s="29"/>
      <c r="BF345" s="29"/>
      <c r="BG345" s="29"/>
      <c r="BH345" s="29"/>
    </row>
    <row r="346" spans="1:60" ht="14.25" customHeight="1" x14ac:dyDescent="0.3">
      <c r="A346" s="28"/>
      <c r="B346" s="29"/>
      <c r="C346" s="30"/>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c r="AN346" s="29"/>
      <c r="AO346" s="29"/>
      <c r="AP346" s="29"/>
      <c r="AQ346" s="29"/>
      <c r="AR346" s="29"/>
      <c r="AS346" s="29"/>
      <c r="AT346" s="29"/>
      <c r="AU346" s="29"/>
      <c r="AV346" s="29"/>
      <c r="AW346" s="29"/>
      <c r="AX346" s="29"/>
      <c r="AY346" s="29"/>
      <c r="AZ346" s="29"/>
      <c r="BA346" s="29"/>
      <c r="BB346" s="29"/>
      <c r="BC346" s="29"/>
      <c r="BD346" s="29"/>
      <c r="BE346" s="29"/>
      <c r="BF346" s="29"/>
      <c r="BG346" s="29"/>
      <c r="BH346" s="29"/>
    </row>
    <row r="347" spans="1:60" ht="14.25" customHeight="1" x14ac:dyDescent="0.3">
      <c r="A347" s="28"/>
      <c r="B347" s="29"/>
      <c r="C347" s="30"/>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c r="AV347" s="29"/>
      <c r="AW347" s="29"/>
      <c r="AX347" s="29"/>
      <c r="AY347" s="29"/>
      <c r="AZ347" s="29"/>
      <c r="BA347" s="29"/>
      <c r="BB347" s="29"/>
      <c r="BC347" s="29"/>
      <c r="BD347" s="29"/>
      <c r="BE347" s="29"/>
      <c r="BF347" s="29"/>
      <c r="BG347" s="29"/>
      <c r="BH347" s="29"/>
    </row>
    <row r="348" spans="1:60" ht="14.25" customHeight="1" x14ac:dyDescent="0.3">
      <c r="A348" s="28"/>
      <c r="B348" s="29"/>
      <c r="C348" s="30"/>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c r="AN348" s="29"/>
      <c r="AO348" s="29"/>
      <c r="AP348" s="29"/>
      <c r="AQ348" s="29"/>
      <c r="AR348" s="29"/>
      <c r="AS348" s="29"/>
      <c r="AT348" s="29"/>
      <c r="AU348" s="29"/>
      <c r="AV348" s="29"/>
      <c r="AW348" s="29"/>
      <c r="AX348" s="29"/>
      <c r="AY348" s="29"/>
      <c r="AZ348" s="29"/>
      <c r="BA348" s="29"/>
      <c r="BB348" s="29"/>
      <c r="BC348" s="29"/>
      <c r="BD348" s="29"/>
      <c r="BE348" s="29"/>
      <c r="BF348" s="29"/>
      <c r="BG348" s="29"/>
      <c r="BH348" s="29"/>
    </row>
    <row r="349" spans="1:60" ht="14.25" customHeight="1" x14ac:dyDescent="0.3">
      <c r="A349" s="28"/>
      <c r="B349" s="29"/>
      <c r="C349" s="30"/>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c r="AT349" s="29"/>
      <c r="AU349" s="29"/>
      <c r="AV349" s="29"/>
      <c r="AW349" s="29"/>
      <c r="AX349" s="29"/>
      <c r="AY349" s="29"/>
      <c r="AZ349" s="29"/>
      <c r="BA349" s="29"/>
      <c r="BB349" s="29"/>
      <c r="BC349" s="29"/>
      <c r="BD349" s="29"/>
      <c r="BE349" s="29"/>
      <c r="BF349" s="29"/>
      <c r="BG349" s="29"/>
      <c r="BH349" s="29"/>
    </row>
    <row r="350" spans="1:60" ht="14.25" customHeight="1" x14ac:dyDescent="0.3">
      <c r="A350" s="28"/>
      <c r="B350" s="29"/>
      <c r="C350" s="30"/>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c r="AN350" s="29"/>
      <c r="AO350" s="29"/>
      <c r="AP350" s="29"/>
      <c r="AQ350" s="29"/>
      <c r="AR350" s="29"/>
      <c r="AS350" s="29"/>
      <c r="AT350" s="29"/>
      <c r="AU350" s="29"/>
      <c r="AV350" s="29"/>
      <c r="AW350" s="29"/>
      <c r="AX350" s="29"/>
      <c r="AY350" s="29"/>
      <c r="AZ350" s="29"/>
      <c r="BA350" s="29"/>
      <c r="BB350" s="29"/>
      <c r="BC350" s="29"/>
      <c r="BD350" s="29"/>
      <c r="BE350" s="29"/>
      <c r="BF350" s="29"/>
      <c r="BG350" s="29"/>
      <c r="BH350" s="29"/>
    </row>
    <row r="351" spans="1:60" ht="14.25" customHeight="1" x14ac:dyDescent="0.3">
      <c r="A351" s="28"/>
      <c r="B351" s="29"/>
      <c r="C351" s="30"/>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c r="AT351" s="29"/>
      <c r="AU351" s="29"/>
      <c r="AV351" s="29"/>
      <c r="AW351" s="29"/>
      <c r="AX351" s="29"/>
      <c r="AY351" s="29"/>
      <c r="AZ351" s="29"/>
      <c r="BA351" s="29"/>
      <c r="BB351" s="29"/>
      <c r="BC351" s="29"/>
      <c r="BD351" s="29"/>
      <c r="BE351" s="29"/>
      <c r="BF351" s="29"/>
      <c r="BG351" s="29"/>
      <c r="BH351" s="29"/>
    </row>
    <row r="352" spans="1:60" ht="14.25" customHeight="1" x14ac:dyDescent="0.3">
      <c r="A352" s="28"/>
      <c r="B352" s="29"/>
      <c r="C352" s="30"/>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J352" s="29"/>
      <c r="AK352" s="29"/>
      <c r="AL352" s="29"/>
      <c r="AM352" s="29"/>
      <c r="AN352" s="29"/>
      <c r="AO352" s="29"/>
      <c r="AP352" s="29"/>
      <c r="AQ352" s="29"/>
      <c r="AR352" s="29"/>
      <c r="AS352" s="29"/>
      <c r="AT352" s="29"/>
      <c r="AU352" s="29"/>
      <c r="AV352" s="29"/>
      <c r="AW352" s="29"/>
      <c r="AX352" s="29"/>
      <c r="AY352" s="29"/>
      <c r="AZ352" s="29"/>
      <c r="BA352" s="29"/>
      <c r="BB352" s="29"/>
      <c r="BC352" s="29"/>
      <c r="BD352" s="29"/>
      <c r="BE352" s="29"/>
      <c r="BF352" s="29"/>
      <c r="BG352" s="29"/>
      <c r="BH352" s="29"/>
    </row>
    <row r="353" spans="1:60" ht="14.25" customHeight="1" x14ac:dyDescent="0.3">
      <c r="A353" s="28"/>
      <c r="B353" s="29"/>
      <c r="C353" s="30"/>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c r="AT353" s="29"/>
      <c r="AU353" s="29"/>
      <c r="AV353" s="29"/>
      <c r="AW353" s="29"/>
      <c r="AX353" s="29"/>
      <c r="AY353" s="29"/>
      <c r="AZ353" s="29"/>
      <c r="BA353" s="29"/>
      <c r="BB353" s="29"/>
      <c r="BC353" s="29"/>
      <c r="BD353" s="29"/>
      <c r="BE353" s="29"/>
      <c r="BF353" s="29"/>
      <c r="BG353" s="29"/>
      <c r="BH353" s="29"/>
    </row>
    <row r="354" spans="1:60" ht="14.25" customHeight="1" x14ac:dyDescent="0.3">
      <c r="A354" s="28"/>
      <c r="B354" s="29"/>
      <c r="C354" s="30"/>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c r="AO354" s="29"/>
      <c r="AP354" s="29"/>
      <c r="AQ354" s="29"/>
      <c r="AR354" s="29"/>
      <c r="AS354" s="29"/>
      <c r="AT354" s="29"/>
      <c r="AU354" s="29"/>
      <c r="AV354" s="29"/>
      <c r="AW354" s="29"/>
      <c r="AX354" s="29"/>
      <c r="AY354" s="29"/>
      <c r="AZ354" s="29"/>
      <c r="BA354" s="29"/>
      <c r="BB354" s="29"/>
      <c r="BC354" s="29"/>
      <c r="BD354" s="29"/>
      <c r="BE354" s="29"/>
      <c r="BF354" s="29"/>
      <c r="BG354" s="29"/>
      <c r="BH354" s="29"/>
    </row>
    <row r="355" spans="1:60" ht="14.25" customHeight="1" x14ac:dyDescent="0.3">
      <c r="A355" s="28"/>
      <c r="B355" s="29"/>
      <c r="C355" s="30"/>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c r="AV355" s="29"/>
      <c r="AW355" s="29"/>
      <c r="AX355" s="29"/>
      <c r="AY355" s="29"/>
      <c r="AZ355" s="29"/>
      <c r="BA355" s="29"/>
      <c r="BB355" s="29"/>
      <c r="BC355" s="29"/>
      <c r="BD355" s="29"/>
      <c r="BE355" s="29"/>
      <c r="BF355" s="29"/>
      <c r="BG355" s="29"/>
      <c r="BH355" s="29"/>
    </row>
    <row r="356" spans="1:60" ht="14.25" customHeight="1" x14ac:dyDescent="0.3">
      <c r="A356" s="28"/>
      <c r="B356" s="29"/>
      <c r="C356" s="30"/>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29"/>
      <c r="AP356" s="29"/>
      <c r="AQ356" s="29"/>
      <c r="AR356" s="29"/>
      <c r="AS356" s="29"/>
      <c r="AT356" s="29"/>
      <c r="AU356" s="29"/>
      <c r="AV356" s="29"/>
      <c r="AW356" s="29"/>
      <c r="AX356" s="29"/>
      <c r="AY356" s="29"/>
      <c r="AZ356" s="29"/>
      <c r="BA356" s="29"/>
      <c r="BB356" s="29"/>
      <c r="BC356" s="29"/>
      <c r="BD356" s="29"/>
      <c r="BE356" s="29"/>
      <c r="BF356" s="29"/>
      <c r="BG356" s="29"/>
      <c r="BH356" s="29"/>
    </row>
    <row r="357" spans="1:60" ht="14.25" customHeight="1" x14ac:dyDescent="0.3">
      <c r="A357" s="28"/>
      <c r="B357" s="29"/>
      <c r="C357" s="30"/>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c r="AV357" s="29"/>
      <c r="AW357" s="29"/>
      <c r="AX357" s="29"/>
      <c r="AY357" s="29"/>
      <c r="AZ357" s="29"/>
      <c r="BA357" s="29"/>
      <c r="BB357" s="29"/>
      <c r="BC357" s="29"/>
      <c r="BD357" s="29"/>
      <c r="BE357" s="29"/>
      <c r="BF357" s="29"/>
      <c r="BG357" s="29"/>
      <c r="BH357" s="29"/>
    </row>
    <row r="358" spans="1:60" ht="14.25" customHeight="1" x14ac:dyDescent="0.3">
      <c r="A358" s="28"/>
      <c r="B358" s="29"/>
      <c r="C358" s="30"/>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c r="AT358" s="29"/>
      <c r="AU358" s="29"/>
      <c r="AV358" s="29"/>
      <c r="AW358" s="29"/>
      <c r="AX358" s="29"/>
      <c r="AY358" s="29"/>
      <c r="AZ358" s="29"/>
      <c r="BA358" s="29"/>
      <c r="BB358" s="29"/>
      <c r="BC358" s="29"/>
      <c r="BD358" s="29"/>
      <c r="BE358" s="29"/>
      <c r="BF358" s="29"/>
      <c r="BG358" s="29"/>
      <c r="BH358" s="29"/>
    </row>
    <row r="359" spans="1:60" ht="14.25" customHeight="1" x14ac:dyDescent="0.3">
      <c r="A359" s="28"/>
      <c r="B359" s="29"/>
      <c r="C359" s="30"/>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c r="AX359" s="29"/>
      <c r="AY359" s="29"/>
      <c r="AZ359" s="29"/>
      <c r="BA359" s="29"/>
      <c r="BB359" s="29"/>
      <c r="BC359" s="29"/>
      <c r="BD359" s="29"/>
      <c r="BE359" s="29"/>
      <c r="BF359" s="29"/>
      <c r="BG359" s="29"/>
      <c r="BH359" s="29"/>
    </row>
    <row r="360" spans="1:60" ht="14.25" customHeight="1" x14ac:dyDescent="0.3">
      <c r="A360" s="28"/>
      <c r="B360" s="29"/>
      <c r="C360" s="30"/>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c r="AT360" s="29"/>
      <c r="AU360" s="29"/>
      <c r="AV360" s="29"/>
      <c r="AW360" s="29"/>
      <c r="AX360" s="29"/>
      <c r="AY360" s="29"/>
      <c r="AZ360" s="29"/>
      <c r="BA360" s="29"/>
      <c r="BB360" s="29"/>
      <c r="BC360" s="29"/>
      <c r="BD360" s="29"/>
      <c r="BE360" s="29"/>
      <c r="BF360" s="29"/>
      <c r="BG360" s="29"/>
      <c r="BH360" s="29"/>
    </row>
    <row r="361" spans="1:60" ht="14.25" customHeight="1" x14ac:dyDescent="0.3">
      <c r="A361" s="28"/>
      <c r="B361" s="29"/>
      <c r="C361" s="30"/>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c r="AV361" s="29"/>
      <c r="AW361" s="29"/>
      <c r="AX361" s="29"/>
      <c r="AY361" s="29"/>
      <c r="AZ361" s="29"/>
      <c r="BA361" s="29"/>
      <c r="BB361" s="29"/>
      <c r="BC361" s="29"/>
      <c r="BD361" s="29"/>
      <c r="BE361" s="29"/>
      <c r="BF361" s="29"/>
      <c r="BG361" s="29"/>
      <c r="BH361" s="29"/>
    </row>
    <row r="362" spans="1:60" ht="14.25" customHeight="1" x14ac:dyDescent="0.3">
      <c r="A362" s="28"/>
      <c r="B362" s="29"/>
      <c r="C362" s="30"/>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J362" s="29"/>
      <c r="AK362" s="29"/>
      <c r="AL362" s="29"/>
      <c r="AM362" s="29"/>
      <c r="AN362" s="29"/>
      <c r="AO362" s="29"/>
      <c r="AP362" s="29"/>
      <c r="AQ362" s="29"/>
      <c r="AR362" s="29"/>
      <c r="AS362" s="29"/>
      <c r="AT362" s="29"/>
      <c r="AU362" s="29"/>
      <c r="AV362" s="29"/>
      <c r="AW362" s="29"/>
      <c r="AX362" s="29"/>
      <c r="AY362" s="29"/>
      <c r="AZ362" s="29"/>
      <c r="BA362" s="29"/>
      <c r="BB362" s="29"/>
      <c r="BC362" s="29"/>
      <c r="BD362" s="29"/>
      <c r="BE362" s="29"/>
      <c r="BF362" s="29"/>
      <c r="BG362" s="29"/>
      <c r="BH362" s="29"/>
    </row>
    <row r="363" spans="1:60" ht="14.25" customHeight="1" x14ac:dyDescent="0.3">
      <c r="A363" s="28"/>
      <c r="B363" s="29"/>
      <c r="C363" s="30"/>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c r="AT363" s="29"/>
      <c r="AU363" s="29"/>
      <c r="AV363" s="29"/>
      <c r="AW363" s="29"/>
      <c r="AX363" s="29"/>
      <c r="AY363" s="29"/>
      <c r="AZ363" s="29"/>
      <c r="BA363" s="29"/>
      <c r="BB363" s="29"/>
      <c r="BC363" s="29"/>
      <c r="BD363" s="29"/>
      <c r="BE363" s="29"/>
      <c r="BF363" s="29"/>
      <c r="BG363" s="29"/>
      <c r="BH363" s="29"/>
    </row>
    <row r="364" spans="1:60" ht="14.25" customHeight="1" x14ac:dyDescent="0.3">
      <c r="A364" s="28"/>
      <c r="B364" s="29"/>
      <c r="C364" s="30"/>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c r="AK364" s="29"/>
      <c r="AL364" s="29"/>
      <c r="AM364" s="29"/>
      <c r="AN364" s="29"/>
      <c r="AO364" s="29"/>
      <c r="AP364" s="29"/>
      <c r="AQ364" s="29"/>
      <c r="AR364" s="29"/>
      <c r="AS364" s="29"/>
      <c r="AT364" s="29"/>
      <c r="AU364" s="29"/>
      <c r="AV364" s="29"/>
      <c r="AW364" s="29"/>
      <c r="AX364" s="29"/>
      <c r="AY364" s="29"/>
      <c r="AZ364" s="29"/>
      <c r="BA364" s="29"/>
      <c r="BB364" s="29"/>
      <c r="BC364" s="29"/>
      <c r="BD364" s="29"/>
      <c r="BE364" s="29"/>
      <c r="BF364" s="29"/>
      <c r="BG364" s="29"/>
      <c r="BH364" s="29"/>
    </row>
    <row r="365" spans="1:60" ht="14.25" customHeight="1" x14ac:dyDescent="0.3">
      <c r="A365" s="28"/>
      <c r="B365" s="29"/>
      <c r="C365" s="30"/>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c r="AT365" s="29"/>
      <c r="AU365" s="29"/>
      <c r="AV365" s="29"/>
      <c r="AW365" s="29"/>
      <c r="AX365" s="29"/>
      <c r="AY365" s="29"/>
      <c r="AZ365" s="29"/>
      <c r="BA365" s="29"/>
      <c r="BB365" s="29"/>
      <c r="BC365" s="29"/>
      <c r="BD365" s="29"/>
      <c r="BE365" s="29"/>
      <c r="BF365" s="29"/>
      <c r="BG365" s="29"/>
      <c r="BH365" s="29"/>
    </row>
    <row r="366" spans="1:60" ht="14.25" customHeight="1" x14ac:dyDescent="0.3">
      <c r="A366" s="28"/>
      <c r="B366" s="29"/>
      <c r="C366" s="30"/>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J366" s="29"/>
      <c r="AK366" s="29"/>
      <c r="AL366" s="29"/>
      <c r="AM366" s="29"/>
      <c r="AN366" s="29"/>
      <c r="AO366" s="29"/>
      <c r="AP366" s="29"/>
      <c r="AQ366" s="29"/>
      <c r="AR366" s="29"/>
      <c r="AS366" s="29"/>
      <c r="AT366" s="29"/>
      <c r="AU366" s="29"/>
      <c r="AV366" s="29"/>
      <c r="AW366" s="29"/>
      <c r="AX366" s="29"/>
      <c r="AY366" s="29"/>
      <c r="AZ366" s="29"/>
      <c r="BA366" s="29"/>
      <c r="BB366" s="29"/>
      <c r="BC366" s="29"/>
      <c r="BD366" s="29"/>
      <c r="BE366" s="29"/>
      <c r="BF366" s="29"/>
      <c r="BG366" s="29"/>
      <c r="BH366" s="29"/>
    </row>
    <row r="367" spans="1:60" ht="14.25" customHeight="1" x14ac:dyDescent="0.3">
      <c r="A367" s="28"/>
      <c r="B367" s="29"/>
      <c r="C367" s="30"/>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c r="AT367" s="29"/>
      <c r="AU367" s="29"/>
      <c r="AV367" s="29"/>
      <c r="AW367" s="29"/>
      <c r="AX367" s="29"/>
      <c r="AY367" s="29"/>
      <c r="AZ367" s="29"/>
      <c r="BA367" s="29"/>
      <c r="BB367" s="29"/>
      <c r="BC367" s="29"/>
      <c r="BD367" s="29"/>
      <c r="BE367" s="29"/>
      <c r="BF367" s="29"/>
      <c r="BG367" s="29"/>
      <c r="BH367" s="29"/>
    </row>
    <row r="368" spans="1:60" ht="14.25" customHeight="1" x14ac:dyDescent="0.3">
      <c r="A368" s="28"/>
      <c r="B368" s="29"/>
      <c r="C368" s="30"/>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c r="AN368" s="29"/>
      <c r="AO368" s="29"/>
      <c r="AP368" s="29"/>
      <c r="AQ368" s="29"/>
      <c r="AR368" s="29"/>
      <c r="AS368" s="29"/>
      <c r="AT368" s="29"/>
      <c r="AU368" s="29"/>
      <c r="AV368" s="29"/>
      <c r="AW368" s="29"/>
      <c r="AX368" s="29"/>
      <c r="AY368" s="29"/>
      <c r="AZ368" s="29"/>
      <c r="BA368" s="29"/>
      <c r="BB368" s="29"/>
      <c r="BC368" s="29"/>
      <c r="BD368" s="29"/>
      <c r="BE368" s="29"/>
      <c r="BF368" s="29"/>
      <c r="BG368" s="29"/>
      <c r="BH368" s="29"/>
    </row>
    <row r="369" spans="1:60" ht="14.25" customHeight="1" x14ac:dyDescent="0.3">
      <c r="A369" s="28"/>
      <c r="B369" s="29"/>
      <c r="C369" s="30"/>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29"/>
      <c r="AV369" s="29"/>
      <c r="AW369" s="29"/>
      <c r="AX369" s="29"/>
      <c r="AY369" s="29"/>
      <c r="AZ369" s="29"/>
      <c r="BA369" s="29"/>
      <c r="BB369" s="29"/>
      <c r="BC369" s="29"/>
      <c r="BD369" s="29"/>
      <c r="BE369" s="29"/>
      <c r="BF369" s="29"/>
      <c r="BG369" s="29"/>
      <c r="BH369" s="29"/>
    </row>
    <row r="370" spans="1:60" ht="14.25" customHeight="1" x14ac:dyDescent="0.3">
      <c r="A370" s="28"/>
      <c r="B370" s="29"/>
      <c r="C370" s="30"/>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c r="AN370" s="29"/>
      <c r="AO370" s="29"/>
      <c r="AP370" s="29"/>
      <c r="AQ370" s="29"/>
      <c r="AR370" s="29"/>
      <c r="AS370" s="29"/>
      <c r="AT370" s="29"/>
      <c r="AU370" s="29"/>
      <c r="AV370" s="29"/>
      <c r="AW370" s="29"/>
      <c r="AX370" s="29"/>
      <c r="AY370" s="29"/>
      <c r="AZ370" s="29"/>
      <c r="BA370" s="29"/>
      <c r="BB370" s="29"/>
      <c r="BC370" s="29"/>
      <c r="BD370" s="29"/>
      <c r="BE370" s="29"/>
      <c r="BF370" s="29"/>
      <c r="BG370" s="29"/>
      <c r="BH370" s="29"/>
    </row>
    <row r="371" spans="1:60" ht="14.25" customHeight="1" x14ac:dyDescent="0.3">
      <c r="A371" s="28"/>
      <c r="B371" s="29"/>
      <c r="C371" s="30"/>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c r="AT371" s="29"/>
      <c r="AU371" s="29"/>
      <c r="AV371" s="29"/>
      <c r="AW371" s="29"/>
      <c r="AX371" s="29"/>
      <c r="AY371" s="29"/>
      <c r="AZ371" s="29"/>
      <c r="BA371" s="29"/>
      <c r="BB371" s="29"/>
      <c r="BC371" s="29"/>
      <c r="BD371" s="29"/>
      <c r="BE371" s="29"/>
      <c r="BF371" s="29"/>
      <c r="BG371" s="29"/>
      <c r="BH371" s="29"/>
    </row>
    <row r="372" spans="1:60" ht="14.25" customHeight="1" x14ac:dyDescent="0.3">
      <c r="A372" s="28"/>
      <c r="B372" s="29"/>
      <c r="C372" s="30"/>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c r="AH372" s="29"/>
      <c r="AI372" s="29"/>
      <c r="AJ372" s="29"/>
      <c r="AK372" s="29"/>
      <c r="AL372" s="29"/>
      <c r="AM372" s="29"/>
      <c r="AN372" s="29"/>
      <c r="AO372" s="29"/>
      <c r="AP372" s="29"/>
      <c r="AQ372" s="29"/>
      <c r="AR372" s="29"/>
      <c r="AS372" s="29"/>
      <c r="AT372" s="29"/>
      <c r="AU372" s="29"/>
      <c r="AV372" s="29"/>
      <c r="AW372" s="29"/>
      <c r="AX372" s="29"/>
      <c r="AY372" s="29"/>
      <c r="AZ372" s="29"/>
      <c r="BA372" s="29"/>
      <c r="BB372" s="29"/>
      <c r="BC372" s="29"/>
      <c r="BD372" s="29"/>
      <c r="BE372" s="29"/>
      <c r="BF372" s="29"/>
      <c r="BG372" s="29"/>
      <c r="BH372" s="29"/>
    </row>
    <row r="373" spans="1:60" ht="14.25" customHeight="1" x14ac:dyDescent="0.3">
      <c r="A373" s="28"/>
      <c r="B373" s="29"/>
      <c r="C373" s="30"/>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c r="AT373" s="29"/>
      <c r="AU373" s="29"/>
      <c r="AV373" s="29"/>
      <c r="AW373" s="29"/>
      <c r="AX373" s="29"/>
      <c r="AY373" s="29"/>
      <c r="AZ373" s="29"/>
      <c r="BA373" s="29"/>
      <c r="BB373" s="29"/>
      <c r="BC373" s="29"/>
      <c r="BD373" s="29"/>
      <c r="BE373" s="29"/>
      <c r="BF373" s="29"/>
      <c r="BG373" s="29"/>
      <c r="BH373" s="29"/>
    </row>
    <row r="374" spans="1:60" ht="14.25" customHeight="1" x14ac:dyDescent="0.3">
      <c r="A374" s="28"/>
      <c r="B374" s="29"/>
      <c r="C374" s="30"/>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c r="AN374" s="29"/>
      <c r="AO374" s="29"/>
      <c r="AP374" s="29"/>
      <c r="AQ374" s="29"/>
      <c r="AR374" s="29"/>
      <c r="AS374" s="29"/>
      <c r="AT374" s="29"/>
      <c r="AU374" s="29"/>
      <c r="AV374" s="29"/>
      <c r="AW374" s="29"/>
      <c r="AX374" s="29"/>
      <c r="AY374" s="29"/>
      <c r="AZ374" s="29"/>
      <c r="BA374" s="29"/>
      <c r="BB374" s="29"/>
      <c r="BC374" s="29"/>
      <c r="BD374" s="29"/>
      <c r="BE374" s="29"/>
      <c r="BF374" s="29"/>
      <c r="BG374" s="29"/>
      <c r="BH374" s="29"/>
    </row>
    <row r="375" spans="1:60" ht="14.25" customHeight="1" x14ac:dyDescent="0.3">
      <c r="A375" s="28"/>
      <c r="B375" s="29"/>
      <c r="C375" s="30"/>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c r="AV375" s="29"/>
      <c r="AW375" s="29"/>
      <c r="AX375" s="29"/>
      <c r="AY375" s="29"/>
      <c r="AZ375" s="29"/>
      <c r="BA375" s="29"/>
      <c r="BB375" s="29"/>
      <c r="BC375" s="29"/>
      <c r="BD375" s="29"/>
      <c r="BE375" s="29"/>
      <c r="BF375" s="29"/>
      <c r="BG375" s="29"/>
      <c r="BH375" s="29"/>
    </row>
    <row r="376" spans="1:60" ht="14.25" customHeight="1" x14ac:dyDescent="0.3">
      <c r="A376" s="28"/>
      <c r="B376" s="29"/>
      <c r="C376" s="30"/>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c r="AN376" s="29"/>
      <c r="AO376" s="29"/>
      <c r="AP376" s="29"/>
      <c r="AQ376" s="29"/>
      <c r="AR376" s="29"/>
      <c r="AS376" s="29"/>
      <c r="AT376" s="29"/>
      <c r="AU376" s="29"/>
      <c r="AV376" s="29"/>
      <c r="AW376" s="29"/>
      <c r="AX376" s="29"/>
      <c r="AY376" s="29"/>
      <c r="AZ376" s="29"/>
      <c r="BA376" s="29"/>
      <c r="BB376" s="29"/>
      <c r="BC376" s="29"/>
      <c r="BD376" s="29"/>
      <c r="BE376" s="29"/>
      <c r="BF376" s="29"/>
      <c r="BG376" s="29"/>
      <c r="BH376" s="29"/>
    </row>
    <row r="377" spans="1:60" ht="14.25" customHeight="1" x14ac:dyDescent="0.3">
      <c r="A377" s="28"/>
      <c r="B377" s="29"/>
      <c r="C377" s="30"/>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c r="AV377" s="29"/>
      <c r="AW377" s="29"/>
      <c r="AX377" s="29"/>
      <c r="AY377" s="29"/>
      <c r="AZ377" s="29"/>
      <c r="BA377" s="29"/>
      <c r="BB377" s="29"/>
      <c r="BC377" s="29"/>
      <c r="BD377" s="29"/>
      <c r="BE377" s="29"/>
      <c r="BF377" s="29"/>
      <c r="BG377" s="29"/>
      <c r="BH377" s="29"/>
    </row>
    <row r="378" spans="1:60" ht="14.25" customHeight="1" x14ac:dyDescent="0.3">
      <c r="A378" s="28"/>
      <c r="B378" s="29"/>
      <c r="C378" s="30"/>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c r="AN378" s="29"/>
      <c r="AO378" s="29"/>
      <c r="AP378" s="29"/>
      <c r="AQ378" s="29"/>
      <c r="AR378" s="29"/>
      <c r="AS378" s="29"/>
      <c r="AT378" s="29"/>
      <c r="AU378" s="29"/>
      <c r="AV378" s="29"/>
      <c r="AW378" s="29"/>
      <c r="AX378" s="29"/>
      <c r="AY378" s="29"/>
      <c r="AZ378" s="29"/>
      <c r="BA378" s="29"/>
      <c r="BB378" s="29"/>
      <c r="BC378" s="29"/>
      <c r="BD378" s="29"/>
      <c r="BE378" s="29"/>
      <c r="BF378" s="29"/>
      <c r="BG378" s="29"/>
      <c r="BH378" s="29"/>
    </row>
    <row r="379" spans="1:60" ht="14.25" customHeight="1" x14ac:dyDescent="0.3">
      <c r="A379" s="28"/>
      <c r="B379" s="29"/>
      <c r="C379" s="30"/>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c r="AV379" s="29"/>
      <c r="AW379" s="29"/>
      <c r="AX379" s="29"/>
      <c r="AY379" s="29"/>
      <c r="AZ379" s="29"/>
      <c r="BA379" s="29"/>
      <c r="BB379" s="29"/>
      <c r="BC379" s="29"/>
      <c r="BD379" s="29"/>
      <c r="BE379" s="29"/>
      <c r="BF379" s="29"/>
      <c r="BG379" s="29"/>
      <c r="BH379" s="29"/>
    </row>
    <row r="380" spans="1:60" ht="14.25" customHeight="1" x14ac:dyDescent="0.3">
      <c r="A380" s="28"/>
      <c r="B380" s="29"/>
      <c r="C380" s="30"/>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c r="AN380" s="29"/>
      <c r="AO380" s="29"/>
      <c r="AP380" s="29"/>
      <c r="AQ380" s="29"/>
      <c r="AR380" s="29"/>
      <c r="AS380" s="29"/>
      <c r="AT380" s="29"/>
      <c r="AU380" s="29"/>
      <c r="AV380" s="29"/>
      <c r="AW380" s="29"/>
      <c r="AX380" s="29"/>
      <c r="AY380" s="29"/>
      <c r="AZ380" s="29"/>
      <c r="BA380" s="29"/>
      <c r="BB380" s="29"/>
      <c r="BC380" s="29"/>
      <c r="BD380" s="29"/>
      <c r="BE380" s="29"/>
      <c r="BF380" s="29"/>
      <c r="BG380" s="29"/>
      <c r="BH380" s="29"/>
    </row>
    <row r="381" spans="1:60" ht="14.25" customHeight="1" x14ac:dyDescent="0.3">
      <c r="A381" s="28"/>
      <c r="B381" s="29"/>
      <c r="C381" s="30"/>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c r="AT381" s="29"/>
      <c r="AU381" s="29"/>
      <c r="AV381" s="29"/>
      <c r="AW381" s="29"/>
      <c r="AX381" s="29"/>
      <c r="AY381" s="29"/>
      <c r="AZ381" s="29"/>
      <c r="BA381" s="29"/>
      <c r="BB381" s="29"/>
      <c r="BC381" s="29"/>
      <c r="BD381" s="29"/>
      <c r="BE381" s="29"/>
      <c r="BF381" s="29"/>
      <c r="BG381" s="29"/>
      <c r="BH381" s="29"/>
    </row>
    <row r="382" spans="1:60" ht="14.25" customHeight="1" x14ac:dyDescent="0.3">
      <c r="A382" s="28"/>
      <c r="B382" s="29"/>
      <c r="C382" s="30"/>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c r="AK382" s="29"/>
      <c r="AL382" s="29"/>
      <c r="AM382" s="29"/>
      <c r="AN382" s="29"/>
      <c r="AO382" s="29"/>
      <c r="AP382" s="29"/>
      <c r="AQ382" s="29"/>
      <c r="AR382" s="29"/>
      <c r="AS382" s="29"/>
      <c r="AT382" s="29"/>
      <c r="AU382" s="29"/>
      <c r="AV382" s="29"/>
      <c r="AW382" s="29"/>
      <c r="AX382" s="29"/>
      <c r="AY382" s="29"/>
      <c r="AZ382" s="29"/>
      <c r="BA382" s="29"/>
      <c r="BB382" s="29"/>
      <c r="BC382" s="29"/>
      <c r="BD382" s="29"/>
      <c r="BE382" s="29"/>
      <c r="BF382" s="29"/>
      <c r="BG382" s="29"/>
      <c r="BH382" s="29"/>
    </row>
    <row r="383" spans="1:60" ht="14.25" customHeight="1" x14ac:dyDescent="0.3">
      <c r="A383" s="28"/>
      <c r="B383" s="29"/>
      <c r="C383" s="30"/>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c r="AT383" s="29"/>
      <c r="AU383" s="29"/>
      <c r="AV383" s="29"/>
      <c r="AW383" s="29"/>
      <c r="AX383" s="29"/>
      <c r="AY383" s="29"/>
      <c r="AZ383" s="29"/>
      <c r="BA383" s="29"/>
      <c r="BB383" s="29"/>
      <c r="BC383" s="29"/>
      <c r="BD383" s="29"/>
      <c r="BE383" s="29"/>
      <c r="BF383" s="29"/>
      <c r="BG383" s="29"/>
      <c r="BH383" s="29"/>
    </row>
    <row r="384" spans="1:60" ht="14.25" customHeight="1" x14ac:dyDescent="0.3">
      <c r="A384" s="28"/>
      <c r="B384" s="29"/>
      <c r="C384" s="30"/>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c r="AK384" s="29"/>
      <c r="AL384" s="29"/>
      <c r="AM384" s="29"/>
      <c r="AN384" s="29"/>
      <c r="AO384" s="29"/>
      <c r="AP384" s="29"/>
      <c r="AQ384" s="29"/>
      <c r="AR384" s="29"/>
      <c r="AS384" s="29"/>
      <c r="AT384" s="29"/>
      <c r="AU384" s="29"/>
      <c r="AV384" s="29"/>
      <c r="AW384" s="29"/>
      <c r="AX384" s="29"/>
      <c r="AY384" s="29"/>
      <c r="AZ384" s="29"/>
      <c r="BA384" s="29"/>
      <c r="BB384" s="29"/>
      <c r="BC384" s="29"/>
      <c r="BD384" s="29"/>
      <c r="BE384" s="29"/>
      <c r="BF384" s="29"/>
      <c r="BG384" s="29"/>
      <c r="BH384" s="29"/>
    </row>
    <row r="385" spans="1:60" ht="14.25" customHeight="1" x14ac:dyDescent="0.3">
      <c r="A385" s="28"/>
      <c r="B385" s="29"/>
      <c r="C385" s="30"/>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c r="AV385" s="29"/>
      <c r="AW385" s="29"/>
      <c r="AX385" s="29"/>
      <c r="AY385" s="29"/>
      <c r="AZ385" s="29"/>
      <c r="BA385" s="29"/>
      <c r="BB385" s="29"/>
      <c r="BC385" s="29"/>
      <c r="BD385" s="29"/>
      <c r="BE385" s="29"/>
      <c r="BF385" s="29"/>
      <c r="BG385" s="29"/>
      <c r="BH385" s="29"/>
    </row>
    <row r="386" spans="1:60" ht="14.25" customHeight="1" x14ac:dyDescent="0.3">
      <c r="A386" s="28"/>
      <c r="B386" s="29"/>
      <c r="C386" s="30"/>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c r="AK386" s="29"/>
      <c r="AL386" s="29"/>
      <c r="AM386" s="29"/>
      <c r="AN386" s="29"/>
      <c r="AO386" s="29"/>
      <c r="AP386" s="29"/>
      <c r="AQ386" s="29"/>
      <c r="AR386" s="29"/>
      <c r="AS386" s="29"/>
      <c r="AT386" s="29"/>
      <c r="AU386" s="29"/>
      <c r="AV386" s="29"/>
      <c r="AW386" s="29"/>
      <c r="AX386" s="29"/>
      <c r="AY386" s="29"/>
      <c r="AZ386" s="29"/>
      <c r="BA386" s="29"/>
      <c r="BB386" s="29"/>
      <c r="BC386" s="29"/>
      <c r="BD386" s="29"/>
      <c r="BE386" s="29"/>
      <c r="BF386" s="29"/>
      <c r="BG386" s="29"/>
      <c r="BH386" s="29"/>
    </row>
    <row r="387" spans="1:60" ht="14.25" customHeight="1" x14ac:dyDescent="0.3">
      <c r="A387" s="28"/>
      <c r="B387" s="29"/>
      <c r="C387" s="30"/>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c r="AT387" s="29"/>
      <c r="AU387" s="29"/>
      <c r="AV387" s="29"/>
      <c r="AW387" s="29"/>
      <c r="AX387" s="29"/>
      <c r="AY387" s="29"/>
      <c r="AZ387" s="29"/>
      <c r="BA387" s="29"/>
      <c r="BB387" s="29"/>
      <c r="BC387" s="29"/>
      <c r="BD387" s="29"/>
      <c r="BE387" s="29"/>
      <c r="BF387" s="29"/>
      <c r="BG387" s="29"/>
      <c r="BH387" s="29"/>
    </row>
    <row r="388" spans="1:60" ht="14.25" customHeight="1" x14ac:dyDescent="0.3">
      <c r="A388" s="28"/>
      <c r="B388" s="29"/>
      <c r="C388" s="30"/>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c r="AN388" s="29"/>
      <c r="AO388" s="29"/>
      <c r="AP388" s="29"/>
      <c r="AQ388" s="29"/>
      <c r="AR388" s="29"/>
      <c r="AS388" s="29"/>
      <c r="AT388" s="29"/>
      <c r="AU388" s="29"/>
      <c r="AV388" s="29"/>
      <c r="AW388" s="29"/>
      <c r="AX388" s="29"/>
      <c r="AY388" s="29"/>
      <c r="AZ388" s="29"/>
      <c r="BA388" s="29"/>
      <c r="BB388" s="29"/>
      <c r="BC388" s="29"/>
      <c r="BD388" s="29"/>
      <c r="BE388" s="29"/>
      <c r="BF388" s="29"/>
      <c r="BG388" s="29"/>
      <c r="BH388" s="29"/>
    </row>
    <row r="389" spans="1:60" ht="14.25" customHeight="1" x14ac:dyDescent="0.3">
      <c r="A389" s="28"/>
      <c r="B389" s="29"/>
      <c r="C389" s="30"/>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c r="AT389" s="29"/>
      <c r="AU389" s="29"/>
      <c r="AV389" s="29"/>
      <c r="AW389" s="29"/>
      <c r="AX389" s="29"/>
      <c r="AY389" s="29"/>
      <c r="AZ389" s="29"/>
      <c r="BA389" s="29"/>
      <c r="BB389" s="29"/>
      <c r="BC389" s="29"/>
      <c r="BD389" s="29"/>
      <c r="BE389" s="29"/>
      <c r="BF389" s="29"/>
      <c r="BG389" s="29"/>
      <c r="BH389" s="29"/>
    </row>
    <row r="390" spans="1:60" ht="14.25" customHeight="1" x14ac:dyDescent="0.3">
      <c r="A390" s="28"/>
      <c r="B390" s="29"/>
      <c r="C390" s="30"/>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c r="AH390" s="29"/>
      <c r="AI390" s="29"/>
      <c r="AJ390" s="29"/>
      <c r="AK390" s="29"/>
      <c r="AL390" s="29"/>
      <c r="AM390" s="29"/>
      <c r="AN390" s="29"/>
      <c r="AO390" s="29"/>
      <c r="AP390" s="29"/>
      <c r="AQ390" s="29"/>
      <c r="AR390" s="29"/>
      <c r="AS390" s="29"/>
      <c r="AT390" s="29"/>
      <c r="AU390" s="29"/>
      <c r="AV390" s="29"/>
      <c r="AW390" s="29"/>
      <c r="AX390" s="29"/>
      <c r="AY390" s="29"/>
      <c r="AZ390" s="29"/>
      <c r="BA390" s="29"/>
      <c r="BB390" s="29"/>
      <c r="BC390" s="29"/>
      <c r="BD390" s="29"/>
      <c r="BE390" s="29"/>
      <c r="BF390" s="29"/>
      <c r="BG390" s="29"/>
      <c r="BH390" s="29"/>
    </row>
    <row r="391" spans="1:60" ht="14.25" customHeight="1" x14ac:dyDescent="0.3">
      <c r="A391" s="28"/>
      <c r="B391" s="29"/>
      <c r="C391" s="30"/>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c r="AT391" s="29"/>
      <c r="AU391" s="29"/>
      <c r="AV391" s="29"/>
      <c r="AW391" s="29"/>
      <c r="AX391" s="29"/>
      <c r="AY391" s="29"/>
      <c r="AZ391" s="29"/>
      <c r="BA391" s="29"/>
      <c r="BB391" s="29"/>
      <c r="BC391" s="29"/>
      <c r="BD391" s="29"/>
      <c r="BE391" s="29"/>
      <c r="BF391" s="29"/>
      <c r="BG391" s="29"/>
      <c r="BH391" s="29"/>
    </row>
    <row r="392" spans="1:60" ht="14.25" customHeight="1" x14ac:dyDescent="0.3">
      <c r="A392" s="28"/>
      <c r="B392" s="29"/>
      <c r="C392" s="30"/>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c r="AN392" s="29"/>
      <c r="AO392" s="29"/>
      <c r="AP392" s="29"/>
      <c r="AQ392" s="29"/>
      <c r="AR392" s="29"/>
      <c r="AS392" s="29"/>
      <c r="AT392" s="29"/>
      <c r="AU392" s="29"/>
      <c r="AV392" s="29"/>
      <c r="AW392" s="29"/>
      <c r="AX392" s="29"/>
      <c r="AY392" s="29"/>
      <c r="AZ392" s="29"/>
      <c r="BA392" s="29"/>
      <c r="BB392" s="29"/>
      <c r="BC392" s="29"/>
      <c r="BD392" s="29"/>
      <c r="BE392" s="29"/>
      <c r="BF392" s="29"/>
      <c r="BG392" s="29"/>
      <c r="BH392" s="29"/>
    </row>
    <row r="393" spans="1:60" ht="14.25" customHeight="1" x14ac:dyDescent="0.3">
      <c r="A393" s="28"/>
      <c r="B393" s="29"/>
      <c r="C393" s="30"/>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c r="AV393" s="29"/>
      <c r="AW393" s="29"/>
      <c r="AX393" s="29"/>
      <c r="AY393" s="29"/>
      <c r="AZ393" s="29"/>
      <c r="BA393" s="29"/>
      <c r="BB393" s="29"/>
      <c r="BC393" s="29"/>
      <c r="BD393" s="29"/>
      <c r="BE393" s="29"/>
      <c r="BF393" s="29"/>
      <c r="BG393" s="29"/>
      <c r="BH393" s="29"/>
    </row>
    <row r="394" spans="1:60" ht="14.25" customHeight="1" x14ac:dyDescent="0.3">
      <c r="A394" s="28"/>
      <c r="B394" s="29"/>
      <c r="C394" s="30"/>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c r="AN394" s="29"/>
      <c r="AO394" s="29"/>
      <c r="AP394" s="29"/>
      <c r="AQ394" s="29"/>
      <c r="AR394" s="29"/>
      <c r="AS394" s="29"/>
      <c r="AT394" s="29"/>
      <c r="AU394" s="29"/>
      <c r="AV394" s="29"/>
      <c r="AW394" s="29"/>
      <c r="AX394" s="29"/>
      <c r="AY394" s="29"/>
      <c r="AZ394" s="29"/>
      <c r="BA394" s="29"/>
      <c r="BB394" s="29"/>
      <c r="BC394" s="29"/>
      <c r="BD394" s="29"/>
      <c r="BE394" s="29"/>
      <c r="BF394" s="29"/>
      <c r="BG394" s="29"/>
      <c r="BH394" s="29"/>
    </row>
    <row r="395" spans="1:60" ht="14.25" customHeight="1" x14ac:dyDescent="0.3">
      <c r="A395" s="28"/>
      <c r="B395" s="29"/>
      <c r="C395" s="30"/>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c r="AV395" s="29"/>
      <c r="AW395" s="29"/>
      <c r="AX395" s="29"/>
      <c r="AY395" s="29"/>
      <c r="AZ395" s="29"/>
      <c r="BA395" s="29"/>
      <c r="BB395" s="29"/>
      <c r="BC395" s="29"/>
      <c r="BD395" s="29"/>
      <c r="BE395" s="29"/>
      <c r="BF395" s="29"/>
      <c r="BG395" s="29"/>
      <c r="BH395" s="29"/>
    </row>
    <row r="396" spans="1:60" ht="14.25" customHeight="1" x14ac:dyDescent="0.3">
      <c r="A396" s="28"/>
      <c r="B396" s="29"/>
      <c r="C396" s="30"/>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c r="AN396" s="29"/>
      <c r="AO396" s="29"/>
      <c r="AP396" s="29"/>
      <c r="AQ396" s="29"/>
      <c r="AR396" s="29"/>
      <c r="AS396" s="29"/>
      <c r="AT396" s="29"/>
      <c r="AU396" s="29"/>
      <c r="AV396" s="29"/>
      <c r="AW396" s="29"/>
      <c r="AX396" s="29"/>
      <c r="AY396" s="29"/>
      <c r="AZ396" s="29"/>
      <c r="BA396" s="29"/>
      <c r="BB396" s="29"/>
      <c r="BC396" s="29"/>
      <c r="BD396" s="29"/>
      <c r="BE396" s="29"/>
      <c r="BF396" s="29"/>
      <c r="BG396" s="29"/>
      <c r="BH396" s="29"/>
    </row>
    <row r="397" spans="1:60" ht="14.25" customHeight="1" x14ac:dyDescent="0.3">
      <c r="A397" s="28"/>
      <c r="B397" s="29"/>
      <c r="C397" s="30"/>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c r="AV397" s="29"/>
      <c r="AW397" s="29"/>
      <c r="AX397" s="29"/>
      <c r="AY397" s="29"/>
      <c r="AZ397" s="29"/>
      <c r="BA397" s="29"/>
      <c r="BB397" s="29"/>
      <c r="BC397" s="29"/>
      <c r="BD397" s="29"/>
      <c r="BE397" s="29"/>
      <c r="BF397" s="29"/>
      <c r="BG397" s="29"/>
      <c r="BH397" s="29"/>
    </row>
    <row r="398" spans="1:60" ht="14.25" customHeight="1" x14ac:dyDescent="0.3">
      <c r="A398" s="28"/>
      <c r="B398" s="29"/>
      <c r="C398" s="30"/>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J398" s="29"/>
      <c r="AK398" s="29"/>
      <c r="AL398" s="29"/>
      <c r="AM398" s="29"/>
      <c r="AN398" s="29"/>
      <c r="AO398" s="29"/>
      <c r="AP398" s="29"/>
      <c r="AQ398" s="29"/>
      <c r="AR398" s="29"/>
      <c r="AS398" s="29"/>
      <c r="AT398" s="29"/>
      <c r="AU398" s="29"/>
      <c r="AV398" s="29"/>
      <c r="AW398" s="29"/>
      <c r="AX398" s="29"/>
      <c r="AY398" s="29"/>
      <c r="AZ398" s="29"/>
      <c r="BA398" s="29"/>
      <c r="BB398" s="29"/>
      <c r="BC398" s="29"/>
      <c r="BD398" s="29"/>
      <c r="BE398" s="29"/>
      <c r="BF398" s="29"/>
      <c r="BG398" s="29"/>
      <c r="BH398" s="29"/>
    </row>
    <row r="399" spans="1:60" ht="14.25" customHeight="1" x14ac:dyDescent="0.3">
      <c r="A399" s="28"/>
      <c r="B399" s="29"/>
      <c r="C399" s="30"/>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c r="AT399" s="29"/>
      <c r="AU399" s="29"/>
      <c r="AV399" s="29"/>
      <c r="AW399" s="29"/>
      <c r="AX399" s="29"/>
      <c r="AY399" s="29"/>
      <c r="AZ399" s="29"/>
      <c r="BA399" s="29"/>
      <c r="BB399" s="29"/>
      <c r="BC399" s="29"/>
      <c r="BD399" s="29"/>
      <c r="BE399" s="29"/>
      <c r="BF399" s="29"/>
      <c r="BG399" s="29"/>
      <c r="BH399" s="29"/>
    </row>
    <row r="400" spans="1:60" ht="14.25" customHeight="1" x14ac:dyDescent="0.3">
      <c r="A400" s="28"/>
      <c r="B400" s="29"/>
      <c r="C400" s="30"/>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J400" s="29"/>
      <c r="AK400" s="29"/>
      <c r="AL400" s="29"/>
      <c r="AM400" s="29"/>
      <c r="AN400" s="29"/>
      <c r="AO400" s="29"/>
      <c r="AP400" s="29"/>
      <c r="AQ400" s="29"/>
      <c r="AR400" s="29"/>
      <c r="AS400" s="29"/>
      <c r="AT400" s="29"/>
      <c r="AU400" s="29"/>
      <c r="AV400" s="29"/>
      <c r="AW400" s="29"/>
      <c r="AX400" s="29"/>
      <c r="AY400" s="29"/>
      <c r="AZ400" s="29"/>
      <c r="BA400" s="29"/>
      <c r="BB400" s="29"/>
      <c r="BC400" s="29"/>
      <c r="BD400" s="29"/>
      <c r="BE400" s="29"/>
      <c r="BF400" s="29"/>
      <c r="BG400" s="29"/>
      <c r="BH400" s="29"/>
    </row>
    <row r="401" spans="1:60" ht="14.25" customHeight="1" x14ac:dyDescent="0.3">
      <c r="A401" s="28"/>
      <c r="B401" s="29"/>
      <c r="C401" s="30"/>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c r="AT401" s="29"/>
      <c r="AU401" s="29"/>
      <c r="AV401" s="29"/>
      <c r="AW401" s="29"/>
      <c r="AX401" s="29"/>
      <c r="AY401" s="29"/>
      <c r="AZ401" s="29"/>
      <c r="BA401" s="29"/>
      <c r="BB401" s="29"/>
      <c r="BC401" s="29"/>
      <c r="BD401" s="29"/>
      <c r="BE401" s="29"/>
      <c r="BF401" s="29"/>
      <c r="BG401" s="29"/>
      <c r="BH401" s="29"/>
    </row>
    <row r="402" spans="1:60" ht="14.25" customHeight="1" x14ac:dyDescent="0.3">
      <c r="A402" s="28"/>
      <c r="B402" s="29"/>
      <c r="C402" s="30"/>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J402" s="29"/>
      <c r="AK402" s="29"/>
      <c r="AL402" s="29"/>
      <c r="AM402" s="29"/>
      <c r="AN402" s="29"/>
      <c r="AO402" s="29"/>
      <c r="AP402" s="29"/>
      <c r="AQ402" s="29"/>
      <c r="AR402" s="29"/>
      <c r="AS402" s="29"/>
      <c r="AT402" s="29"/>
      <c r="AU402" s="29"/>
      <c r="AV402" s="29"/>
      <c r="AW402" s="29"/>
      <c r="AX402" s="29"/>
      <c r="AY402" s="29"/>
      <c r="AZ402" s="29"/>
      <c r="BA402" s="29"/>
      <c r="BB402" s="29"/>
      <c r="BC402" s="29"/>
      <c r="BD402" s="29"/>
      <c r="BE402" s="29"/>
      <c r="BF402" s="29"/>
      <c r="BG402" s="29"/>
      <c r="BH402" s="29"/>
    </row>
    <row r="403" spans="1:60" ht="14.25" customHeight="1" x14ac:dyDescent="0.3">
      <c r="A403" s="28"/>
      <c r="B403" s="29"/>
      <c r="C403" s="30"/>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c r="AO403" s="29"/>
      <c r="AP403" s="29"/>
      <c r="AQ403" s="29"/>
      <c r="AR403" s="29"/>
      <c r="AS403" s="29"/>
      <c r="AT403" s="29"/>
      <c r="AU403" s="29"/>
      <c r="AV403" s="29"/>
      <c r="AW403" s="29"/>
      <c r="AX403" s="29"/>
      <c r="AY403" s="29"/>
      <c r="AZ403" s="29"/>
      <c r="BA403" s="29"/>
      <c r="BB403" s="29"/>
      <c r="BC403" s="29"/>
      <c r="BD403" s="29"/>
      <c r="BE403" s="29"/>
      <c r="BF403" s="29"/>
      <c r="BG403" s="29"/>
      <c r="BH403" s="29"/>
    </row>
    <row r="404" spans="1:60" ht="14.25" customHeight="1" x14ac:dyDescent="0.3">
      <c r="A404" s="28"/>
      <c r="B404" s="29"/>
      <c r="C404" s="30"/>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J404" s="29"/>
      <c r="AK404" s="29"/>
      <c r="AL404" s="29"/>
      <c r="AM404" s="29"/>
      <c r="AN404" s="29"/>
      <c r="AO404" s="29"/>
      <c r="AP404" s="29"/>
      <c r="AQ404" s="29"/>
      <c r="AR404" s="29"/>
      <c r="AS404" s="29"/>
      <c r="AT404" s="29"/>
      <c r="AU404" s="29"/>
      <c r="AV404" s="29"/>
      <c r="AW404" s="29"/>
      <c r="AX404" s="29"/>
      <c r="AY404" s="29"/>
      <c r="AZ404" s="29"/>
      <c r="BA404" s="29"/>
      <c r="BB404" s="29"/>
      <c r="BC404" s="29"/>
      <c r="BD404" s="29"/>
      <c r="BE404" s="29"/>
      <c r="BF404" s="29"/>
      <c r="BG404" s="29"/>
      <c r="BH404" s="29"/>
    </row>
    <row r="405" spans="1:60" ht="14.25" customHeight="1" x14ac:dyDescent="0.3">
      <c r="A405" s="28"/>
      <c r="B405" s="29"/>
      <c r="C405" s="30"/>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c r="AT405" s="29"/>
      <c r="AU405" s="29"/>
      <c r="AV405" s="29"/>
      <c r="AW405" s="29"/>
      <c r="AX405" s="29"/>
      <c r="AY405" s="29"/>
      <c r="AZ405" s="29"/>
      <c r="BA405" s="29"/>
      <c r="BB405" s="29"/>
      <c r="BC405" s="29"/>
      <c r="BD405" s="29"/>
      <c r="BE405" s="29"/>
      <c r="BF405" s="29"/>
      <c r="BG405" s="29"/>
      <c r="BH405" s="29"/>
    </row>
    <row r="406" spans="1:60" ht="14.25" customHeight="1" x14ac:dyDescent="0.3">
      <c r="A406" s="28"/>
      <c r="B406" s="29"/>
      <c r="C406" s="30"/>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c r="AK406" s="29"/>
      <c r="AL406" s="29"/>
      <c r="AM406" s="29"/>
      <c r="AN406" s="29"/>
      <c r="AO406" s="29"/>
      <c r="AP406" s="29"/>
      <c r="AQ406" s="29"/>
      <c r="AR406" s="29"/>
      <c r="AS406" s="29"/>
      <c r="AT406" s="29"/>
      <c r="AU406" s="29"/>
      <c r="AV406" s="29"/>
      <c r="AW406" s="29"/>
      <c r="AX406" s="29"/>
      <c r="AY406" s="29"/>
      <c r="AZ406" s="29"/>
      <c r="BA406" s="29"/>
      <c r="BB406" s="29"/>
      <c r="BC406" s="29"/>
      <c r="BD406" s="29"/>
      <c r="BE406" s="29"/>
      <c r="BF406" s="29"/>
      <c r="BG406" s="29"/>
      <c r="BH406" s="29"/>
    </row>
    <row r="407" spans="1:60" ht="14.25" customHeight="1" x14ac:dyDescent="0.3">
      <c r="A407" s="28"/>
      <c r="B407" s="29"/>
      <c r="C407" s="30"/>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c r="AT407" s="29"/>
      <c r="AU407" s="29"/>
      <c r="AV407" s="29"/>
      <c r="AW407" s="29"/>
      <c r="AX407" s="29"/>
      <c r="AY407" s="29"/>
      <c r="AZ407" s="29"/>
      <c r="BA407" s="29"/>
      <c r="BB407" s="29"/>
      <c r="BC407" s="29"/>
      <c r="BD407" s="29"/>
      <c r="BE407" s="29"/>
      <c r="BF407" s="29"/>
      <c r="BG407" s="29"/>
      <c r="BH407" s="29"/>
    </row>
    <row r="408" spans="1:60" ht="14.25" customHeight="1" x14ac:dyDescent="0.3">
      <c r="A408" s="28"/>
      <c r="B408" s="29"/>
      <c r="C408" s="30"/>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c r="AK408" s="29"/>
      <c r="AL408" s="29"/>
      <c r="AM408" s="29"/>
      <c r="AN408" s="29"/>
      <c r="AO408" s="29"/>
      <c r="AP408" s="29"/>
      <c r="AQ408" s="29"/>
      <c r="AR408" s="29"/>
      <c r="AS408" s="29"/>
      <c r="AT408" s="29"/>
      <c r="AU408" s="29"/>
      <c r="AV408" s="29"/>
      <c r="AW408" s="29"/>
      <c r="AX408" s="29"/>
      <c r="AY408" s="29"/>
      <c r="AZ408" s="29"/>
      <c r="BA408" s="29"/>
      <c r="BB408" s="29"/>
      <c r="BC408" s="29"/>
      <c r="BD408" s="29"/>
      <c r="BE408" s="29"/>
      <c r="BF408" s="29"/>
      <c r="BG408" s="29"/>
      <c r="BH408" s="29"/>
    </row>
    <row r="409" spans="1:60" ht="14.25" customHeight="1" x14ac:dyDescent="0.3">
      <c r="A409" s="28"/>
      <c r="B409" s="29"/>
      <c r="C409" s="30"/>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c r="AT409" s="29"/>
      <c r="AU409" s="29"/>
      <c r="AV409" s="29"/>
      <c r="AW409" s="29"/>
      <c r="AX409" s="29"/>
      <c r="AY409" s="29"/>
      <c r="AZ409" s="29"/>
      <c r="BA409" s="29"/>
      <c r="BB409" s="29"/>
      <c r="BC409" s="29"/>
      <c r="BD409" s="29"/>
      <c r="BE409" s="29"/>
      <c r="BF409" s="29"/>
      <c r="BG409" s="29"/>
      <c r="BH409" s="29"/>
    </row>
    <row r="410" spans="1:60" ht="14.25" customHeight="1" x14ac:dyDescent="0.3">
      <c r="A410" s="28"/>
      <c r="B410" s="29"/>
      <c r="C410" s="30"/>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c r="AN410" s="29"/>
      <c r="AO410" s="29"/>
      <c r="AP410" s="29"/>
      <c r="AQ410" s="29"/>
      <c r="AR410" s="29"/>
      <c r="AS410" s="29"/>
      <c r="AT410" s="29"/>
      <c r="AU410" s="29"/>
      <c r="AV410" s="29"/>
      <c r="AW410" s="29"/>
      <c r="AX410" s="29"/>
      <c r="AY410" s="29"/>
      <c r="AZ410" s="29"/>
      <c r="BA410" s="29"/>
      <c r="BB410" s="29"/>
      <c r="BC410" s="29"/>
      <c r="BD410" s="29"/>
      <c r="BE410" s="29"/>
      <c r="BF410" s="29"/>
      <c r="BG410" s="29"/>
      <c r="BH410" s="29"/>
    </row>
    <row r="411" spans="1:60" ht="14.25" customHeight="1" x14ac:dyDescent="0.3">
      <c r="A411" s="28"/>
      <c r="B411" s="29"/>
      <c r="C411" s="30"/>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c r="AT411" s="29"/>
      <c r="AU411" s="29"/>
      <c r="AV411" s="29"/>
      <c r="AW411" s="29"/>
      <c r="AX411" s="29"/>
      <c r="AY411" s="29"/>
      <c r="AZ411" s="29"/>
      <c r="BA411" s="29"/>
      <c r="BB411" s="29"/>
      <c r="BC411" s="29"/>
      <c r="BD411" s="29"/>
      <c r="BE411" s="29"/>
      <c r="BF411" s="29"/>
      <c r="BG411" s="29"/>
      <c r="BH411" s="29"/>
    </row>
    <row r="412" spans="1:60" ht="14.25" customHeight="1" x14ac:dyDescent="0.3">
      <c r="A412" s="28"/>
      <c r="B412" s="29"/>
      <c r="C412" s="30"/>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c r="AK412" s="29"/>
      <c r="AL412" s="29"/>
      <c r="AM412" s="29"/>
      <c r="AN412" s="29"/>
      <c r="AO412" s="29"/>
      <c r="AP412" s="29"/>
      <c r="AQ412" s="29"/>
      <c r="AR412" s="29"/>
      <c r="AS412" s="29"/>
      <c r="AT412" s="29"/>
      <c r="AU412" s="29"/>
      <c r="AV412" s="29"/>
      <c r="AW412" s="29"/>
      <c r="AX412" s="29"/>
      <c r="AY412" s="29"/>
      <c r="AZ412" s="29"/>
      <c r="BA412" s="29"/>
      <c r="BB412" s="29"/>
      <c r="BC412" s="29"/>
      <c r="BD412" s="29"/>
      <c r="BE412" s="29"/>
      <c r="BF412" s="29"/>
      <c r="BG412" s="29"/>
      <c r="BH412" s="29"/>
    </row>
    <row r="413" spans="1:60" ht="14.25" customHeight="1" x14ac:dyDescent="0.3">
      <c r="A413" s="28"/>
      <c r="B413" s="29"/>
      <c r="C413" s="30"/>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c r="AT413" s="29"/>
      <c r="AU413" s="29"/>
      <c r="AV413" s="29"/>
      <c r="AW413" s="29"/>
      <c r="AX413" s="29"/>
      <c r="AY413" s="29"/>
      <c r="AZ413" s="29"/>
      <c r="BA413" s="29"/>
      <c r="BB413" s="29"/>
      <c r="BC413" s="29"/>
      <c r="BD413" s="29"/>
      <c r="BE413" s="29"/>
      <c r="BF413" s="29"/>
      <c r="BG413" s="29"/>
      <c r="BH413" s="29"/>
    </row>
    <row r="414" spans="1:60" ht="14.25" customHeight="1" x14ac:dyDescent="0.3">
      <c r="A414" s="28"/>
      <c r="B414" s="29"/>
      <c r="C414" s="30"/>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c r="AK414" s="29"/>
      <c r="AL414" s="29"/>
      <c r="AM414" s="29"/>
      <c r="AN414" s="29"/>
      <c r="AO414" s="29"/>
      <c r="AP414" s="29"/>
      <c r="AQ414" s="29"/>
      <c r="AR414" s="29"/>
      <c r="AS414" s="29"/>
      <c r="AT414" s="29"/>
      <c r="AU414" s="29"/>
      <c r="AV414" s="29"/>
      <c r="AW414" s="29"/>
      <c r="AX414" s="29"/>
      <c r="AY414" s="29"/>
      <c r="AZ414" s="29"/>
      <c r="BA414" s="29"/>
      <c r="BB414" s="29"/>
      <c r="BC414" s="29"/>
      <c r="BD414" s="29"/>
      <c r="BE414" s="29"/>
      <c r="BF414" s="29"/>
      <c r="BG414" s="29"/>
      <c r="BH414" s="29"/>
    </row>
    <row r="415" spans="1:60" ht="14.25" customHeight="1" x14ac:dyDescent="0.3">
      <c r="A415" s="28"/>
      <c r="B415" s="29"/>
      <c r="C415" s="30"/>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c r="AO415" s="29"/>
      <c r="AP415" s="29"/>
      <c r="AQ415" s="29"/>
      <c r="AR415" s="29"/>
      <c r="AS415" s="29"/>
      <c r="AT415" s="29"/>
      <c r="AU415" s="29"/>
      <c r="AV415" s="29"/>
      <c r="AW415" s="29"/>
      <c r="AX415" s="29"/>
      <c r="AY415" s="29"/>
      <c r="AZ415" s="29"/>
      <c r="BA415" s="29"/>
      <c r="BB415" s="29"/>
      <c r="BC415" s="29"/>
      <c r="BD415" s="29"/>
      <c r="BE415" s="29"/>
      <c r="BF415" s="29"/>
      <c r="BG415" s="29"/>
      <c r="BH415" s="29"/>
    </row>
    <row r="416" spans="1:60" ht="14.25" customHeight="1" x14ac:dyDescent="0.3">
      <c r="A416" s="28"/>
      <c r="B416" s="29"/>
      <c r="C416" s="30"/>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J416" s="29"/>
      <c r="AK416" s="29"/>
      <c r="AL416" s="29"/>
      <c r="AM416" s="29"/>
      <c r="AN416" s="29"/>
      <c r="AO416" s="29"/>
      <c r="AP416" s="29"/>
      <c r="AQ416" s="29"/>
      <c r="AR416" s="29"/>
      <c r="AS416" s="29"/>
      <c r="AT416" s="29"/>
      <c r="AU416" s="29"/>
      <c r="AV416" s="29"/>
      <c r="AW416" s="29"/>
      <c r="AX416" s="29"/>
      <c r="AY416" s="29"/>
      <c r="AZ416" s="29"/>
      <c r="BA416" s="29"/>
      <c r="BB416" s="29"/>
      <c r="BC416" s="29"/>
      <c r="BD416" s="29"/>
      <c r="BE416" s="29"/>
      <c r="BF416" s="29"/>
      <c r="BG416" s="29"/>
      <c r="BH416" s="29"/>
    </row>
    <row r="417" spans="1:60" ht="14.25" customHeight="1" x14ac:dyDescent="0.3">
      <c r="A417" s="28"/>
      <c r="B417" s="29"/>
      <c r="C417" s="30"/>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c r="AT417" s="29"/>
      <c r="AU417" s="29"/>
      <c r="AV417" s="29"/>
      <c r="AW417" s="29"/>
      <c r="AX417" s="29"/>
      <c r="AY417" s="29"/>
      <c r="AZ417" s="29"/>
      <c r="BA417" s="29"/>
      <c r="BB417" s="29"/>
      <c r="BC417" s="29"/>
      <c r="BD417" s="29"/>
      <c r="BE417" s="29"/>
      <c r="BF417" s="29"/>
      <c r="BG417" s="29"/>
      <c r="BH417" s="29"/>
    </row>
    <row r="418" spans="1:60" ht="14.25" customHeight="1" x14ac:dyDescent="0.3">
      <c r="A418" s="28"/>
      <c r="B418" s="29"/>
      <c r="C418" s="30"/>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J418" s="29"/>
      <c r="AK418" s="29"/>
      <c r="AL418" s="29"/>
      <c r="AM418" s="29"/>
      <c r="AN418" s="29"/>
      <c r="AO418" s="29"/>
      <c r="AP418" s="29"/>
      <c r="AQ418" s="29"/>
      <c r="AR418" s="29"/>
      <c r="AS418" s="29"/>
      <c r="AT418" s="29"/>
      <c r="AU418" s="29"/>
      <c r="AV418" s="29"/>
      <c r="AW418" s="29"/>
      <c r="AX418" s="29"/>
      <c r="AY418" s="29"/>
      <c r="AZ418" s="29"/>
      <c r="BA418" s="29"/>
      <c r="BB418" s="29"/>
      <c r="BC418" s="29"/>
      <c r="BD418" s="29"/>
      <c r="BE418" s="29"/>
      <c r="BF418" s="29"/>
      <c r="BG418" s="29"/>
      <c r="BH418" s="29"/>
    </row>
    <row r="419" spans="1:60" ht="14.25" customHeight="1" x14ac:dyDescent="0.3">
      <c r="A419" s="28"/>
      <c r="B419" s="29"/>
      <c r="C419" s="30"/>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c r="AT419" s="29"/>
      <c r="AU419" s="29"/>
      <c r="AV419" s="29"/>
      <c r="AW419" s="29"/>
      <c r="AX419" s="29"/>
      <c r="AY419" s="29"/>
      <c r="AZ419" s="29"/>
      <c r="BA419" s="29"/>
      <c r="BB419" s="29"/>
      <c r="BC419" s="29"/>
      <c r="BD419" s="29"/>
      <c r="BE419" s="29"/>
      <c r="BF419" s="29"/>
      <c r="BG419" s="29"/>
      <c r="BH419" s="29"/>
    </row>
    <row r="420" spans="1:60" ht="14.25" customHeight="1" x14ac:dyDescent="0.3">
      <c r="A420" s="28"/>
      <c r="B420" s="29"/>
      <c r="C420" s="30"/>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J420" s="29"/>
      <c r="AK420" s="29"/>
      <c r="AL420" s="29"/>
      <c r="AM420" s="29"/>
      <c r="AN420" s="29"/>
      <c r="AO420" s="29"/>
      <c r="AP420" s="29"/>
      <c r="AQ420" s="29"/>
      <c r="AR420" s="29"/>
      <c r="AS420" s="29"/>
      <c r="AT420" s="29"/>
      <c r="AU420" s="29"/>
      <c r="AV420" s="29"/>
      <c r="AW420" s="29"/>
      <c r="AX420" s="29"/>
      <c r="AY420" s="29"/>
      <c r="AZ420" s="29"/>
      <c r="BA420" s="29"/>
      <c r="BB420" s="29"/>
      <c r="BC420" s="29"/>
      <c r="BD420" s="29"/>
      <c r="BE420" s="29"/>
      <c r="BF420" s="29"/>
      <c r="BG420" s="29"/>
      <c r="BH420" s="29"/>
    </row>
    <row r="421" spans="1:60" ht="14.25" customHeight="1" x14ac:dyDescent="0.3">
      <c r="A421" s="28"/>
      <c r="B421" s="29"/>
      <c r="C421" s="30"/>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c r="AT421" s="29"/>
      <c r="AU421" s="29"/>
      <c r="AV421" s="29"/>
      <c r="AW421" s="29"/>
      <c r="AX421" s="29"/>
      <c r="AY421" s="29"/>
      <c r="AZ421" s="29"/>
      <c r="BA421" s="29"/>
      <c r="BB421" s="29"/>
      <c r="BC421" s="29"/>
      <c r="BD421" s="29"/>
      <c r="BE421" s="29"/>
      <c r="BF421" s="29"/>
      <c r="BG421" s="29"/>
      <c r="BH421" s="29"/>
    </row>
    <row r="422" spans="1:60" ht="14.25" customHeight="1" x14ac:dyDescent="0.3">
      <c r="A422" s="28"/>
      <c r="B422" s="29"/>
      <c r="C422" s="30"/>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c r="AK422" s="29"/>
      <c r="AL422" s="29"/>
      <c r="AM422" s="29"/>
      <c r="AN422" s="29"/>
      <c r="AO422" s="29"/>
      <c r="AP422" s="29"/>
      <c r="AQ422" s="29"/>
      <c r="AR422" s="29"/>
      <c r="AS422" s="29"/>
      <c r="AT422" s="29"/>
      <c r="AU422" s="29"/>
      <c r="AV422" s="29"/>
      <c r="AW422" s="29"/>
      <c r="AX422" s="29"/>
      <c r="AY422" s="29"/>
      <c r="AZ422" s="29"/>
      <c r="BA422" s="29"/>
      <c r="BB422" s="29"/>
      <c r="BC422" s="29"/>
      <c r="BD422" s="29"/>
      <c r="BE422" s="29"/>
      <c r="BF422" s="29"/>
      <c r="BG422" s="29"/>
      <c r="BH422" s="29"/>
    </row>
    <row r="423" spans="1:60" ht="14.25" customHeight="1" x14ac:dyDescent="0.3">
      <c r="A423" s="28"/>
      <c r="B423" s="29"/>
      <c r="C423" s="30"/>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c r="AT423" s="29"/>
      <c r="AU423" s="29"/>
      <c r="AV423" s="29"/>
      <c r="AW423" s="29"/>
      <c r="AX423" s="29"/>
      <c r="AY423" s="29"/>
      <c r="AZ423" s="29"/>
      <c r="BA423" s="29"/>
      <c r="BB423" s="29"/>
      <c r="BC423" s="29"/>
      <c r="BD423" s="29"/>
      <c r="BE423" s="29"/>
      <c r="BF423" s="29"/>
      <c r="BG423" s="29"/>
      <c r="BH423" s="29"/>
    </row>
    <row r="424" spans="1:60" ht="14.25" customHeight="1" x14ac:dyDescent="0.3">
      <c r="A424" s="28"/>
      <c r="B424" s="29"/>
      <c r="C424" s="30"/>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c r="AG424" s="29"/>
      <c r="AH424" s="29"/>
      <c r="AI424" s="29"/>
      <c r="AJ424" s="29"/>
      <c r="AK424" s="29"/>
      <c r="AL424" s="29"/>
      <c r="AM424" s="29"/>
      <c r="AN424" s="29"/>
      <c r="AO424" s="29"/>
      <c r="AP424" s="29"/>
      <c r="AQ424" s="29"/>
      <c r="AR424" s="29"/>
      <c r="AS424" s="29"/>
      <c r="AT424" s="29"/>
      <c r="AU424" s="29"/>
      <c r="AV424" s="29"/>
      <c r="AW424" s="29"/>
      <c r="AX424" s="29"/>
      <c r="AY424" s="29"/>
      <c r="AZ424" s="29"/>
      <c r="BA424" s="29"/>
      <c r="BB424" s="29"/>
      <c r="BC424" s="29"/>
      <c r="BD424" s="29"/>
      <c r="BE424" s="29"/>
      <c r="BF424" s="29"/>
      <c r="BG424" s="29"/>
      <c r="BH424" s="29"/>
    </row>
    <row r="425" spans="1:60" ht="14.25" customHeight="1" x14ac:dyDescent="0.3">
      <c r="A425" s="28"/>
      <c r="B425" s="29"/>
      <c r="C425" s="30"/>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c r="AT425" s="29"/>
      <c r="AU425" s="29"/>
      <c r="AV425" s="29"/>
      <c r="AW425" s="29"/>
      <c r="AX425" s="29"/>
      <c r="AY425" s="29"/>
      <c r="AZ425" s="29"/>
      <c r="BA425" s="29"/>
      <c r="BB425" s="29"/>
      <c r="BC425" s="29"/>
      <c r="BD425" s="29"/>
      <c r="BE425" s="29"/>
      <c r="BF425" s="29"/>
      <c r="BG425" s="29"/>
      <c r="BH425" s="29"/>
    </row>
    <row r="426" spans="1:60" ht="14.25" customHeight="1" x14ac:dyDescent="0.3">
      <c r="A426" s="28"/>
      <c r="B426" s="29"/>
      <c r="C426" s="30"/>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c r="AG426" s="29"/>
      <c r="AH426" s="29"/>
      <c r="AI426" s="29"/>
      <c r="AJ426" s="29"/>
      <c r="AK426" s="29"/>
      <c r="AL426" s="29"/>
      <c r="AM426" s="29"/>
      <c r="AN426" s="29"/>
      <c r="AO426" s="29"/>
      <c r="AP426" s="29"/>
      <c r="AQ426" s="29"/>
      <c r="AR426" s="29"/>
      <c r="AS426" s="29"/>
      <c r="AT426" s="29"/>
      <c r="AU426" s="29"/>
      <c r="AV426" s="29"/>
      <c r="AW426" s="29"/>
      <c r="AX426" s="29"/>
      <c r="AY426" s="29"/>
      <c r="AZ426" s="29"/>
      <c r="BA426" s="29"/>
      <c r="BB426" s="29"/>
      <c r="BC426" s="29"/>
      <c r="BD426" s="29"/>
      <c r="BE426" s="29"/>
      <c r="BF426" s="29"/>
      <c r="BG426" s="29"/>
      <c r="BH426" s="29"/>
    </row>
    <row r="427" spans="1:60" ht="14.25" customHeight="1" x14ac:dyDescent="0.3">
      <c r="A427" s="28"/>
      <c r="B427" s="29"/>
      <c r="C427" s="30"/>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c r="AT427" s="29"/>
      <c r="AU427" s="29"/>
      <c r="AV427" s="29"/>
      <c r="AW427" s="29"/>
      <c r="AX427" s="29"/>
      <c r="AY427" s="29"/>
      <c r="AZ427" s="29"/>
      <c r="BA427" s="29"/>
      <c r="BB427" s="29"/>
      <c r="BC427" s="29"/>
      <c r="BD427" s="29"/>
      <c r="BE427" s="29"/>
      <c r="BF427" s="29"/>
      <c r="BG427" s="29"/>
      <c r="BH427" s="29"/>
    </row>
    <row r="428" spans="1:60" ht="14.25" customHeight="1" x14ac:dyDescent="0.3">
      <c r="A428" s="28"/>
      <c r="B428" s="29"/>
      <c r="C428" s="30"/>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J428" s="29"/>
      <c r="AK428" s="29"/>
      <c r="AL428" s="29"/>
      <c r="AM428" s="29"/>
      <c r="AN428" s="29"/>
      <c r="AO428" s="29"/>
      <c r="AP428" s="29"/>
      <c r="AQ428" s="29"/>
      <c r="AR428" s="29"/>
      <c r="AS428" s="29"/>
      <c r="AT428" s="29"/>
      <c r="AU428" s="29"/>
      <c r="AV428" s="29"/>
      <c r="AW428" s="29"/>
      <c r="AX428" s="29"/>
      <c r="AY428" s="29"/>
      <c r="AZ428" s="29"/>
      <c r="BA428" s="29"/>
      <c r="BB428" s="29"/>
      <c r="BC428" s="29"/>
      <c r="BD428" s="29"/>
      <c r="BE428" s="29"/>
      <c r="BF428" s="29"/>
      <c r="BG428" s="29"/>
      <c r="BH428" s="29"/>
    </row>
    <row r="429" spans="1:60" ht="14.25" customHeight="1" x14ac:dyDescent="0.3">
      <c r="A429" s="28"/>
      <c r="B429" s="29"/>
      <c r="C429" s="30"/>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c r="AT429" s="29"/>
      <c r="AU429" s="29"/>
      <c r="AV429" s="29"/>
      <c r="AW429" s="29"/>
      <c r="AX429" s="29"/>
      <c r="AY429" s="29"/>
      <c r="AZ429" s="29"/>
      <c r="BA429" s="29"/>
      <c r="BB429" s="29"/>
      <c r="BC429" s="29"/>
      <c r="BD429" s="29"/>
      <c r="BE429" s="29"/>
      <c r="BF429" s="29"/>
      <c r="BG429" s="29"/>
      <c r="BH429" s="29"/>
    </row>
    <row r="430" spans="1:60" ht="14.25" customHeight="1" x14ac:dyDescent="0.3">
      <c r="A430" s="28"/>
      <c r="B430" s="29"/>
      <c r="C430" s="30"/>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J430" s="29"/>
      <c r="AK430" s="29"/>
      <c r="AL430" s="29"/>
      <c r="AM430" s="29"/>
      <c r="AN430" s="29"/>
      <c r="AO430" s="29"/>
      <c r="AP430" s="29"/>
      <c r="AQ430" s="29"/>
      <c r="AR430" s="29"/>
      <c r="AS430" s="29"/>
      <c r="AT430" s="29"/>
      <c r="AU430" s="29"/>
      <c r="AV430" s="29"/>
      <c r="AW430" s="29"/>
      <c r="AX430" s="29"/>
      <c r="AY430" s="29"/>
      <c r="AZ430" s="29"/>
      <c r="BA430" s="29"/>
      <c r="BB430" s="29"/>
      <c r="BC430" s="29"/>
      <c r="BD430" s="29"/>
      <c r="BE430" s="29"/>
      <c r="BF430" s="29"/>
      <c r="BG430" s="29"/>
      <c r="BH430" s="29"/>
    </row>
    <row r="431" spans="1:60" ht="14.25" customHeight="1" x14ac:dyDescent="0.3">
      <c r="A431" s="28"/>
      <c r="B431" s="29"/>
      <c r="C431" s="30"/>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c r="AT431" s="29"/>
      <c r="AU431" s="29"/>
      <c r="AV431" s="29"/>
      <c r="AW431" s="29"/>
      <c r="AX431" s="29"/>
      <c r="AY431" s="29"/>
      <c r="AZ431" s="29"/>
      <c r="BA431" s="29"/>
      <c r="BB431" s="29"/>
      <c r="BC431" s="29"/>
      <c r="BD431" s="29"/>
      <c r="BE431" s="29"/>
      <c r="BF431" s="29"/>
      <c r="BG431" s="29"/>
      <c r="BH431" s="29"/>
    </row>
    <row r="432" spans="1:60" ht="14.25" customHeight="1" x14ac:dyDescent="0.3">
      <c r="A432" s="28"/>
      <c r="B432" s="29"/>
      <c r="C432" s="30"/>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c r="AK432" s="29"/>
      <c r="AL432" s="29"/>
      <c r="AM432" s="29"/>
      <c r="AN432" s="29"/>
      <c r="AO432" s="29"/>
      <c r="AP432" s="29"/>
      <c r="AQ432" s="29"/>
      <c r="AR432" s="29"/>
      <c r="AS432" s="29"/>
      <c r="AT432" s="29"/>
      <c r="AU432" s="29"/>
      <c r="AV432" s="29"/>
      <c r="AW432" s="29"/>
      <c r="AX432" s="29"/>
      <c r="AY432" s="29"/>
      <c r="AZ432" s="29"/>
      <c r="BA432" s="29"/>
      <c r="BB432" s="29"/>
      <c r="BC432" s="29"/>
      <c r="BD432" s="29"/>
      <c r="BE432" s="29"/>
      <c r="BF432" s="29"/>
      <c r="BG432" s="29"/>
      <c r="BH432" s="29"/>
    </row>
    <row r="433" spans="1:60" ht="14.25" customHeight="1" x14ac:dyDescent="0.3">
      <c r="A433" s="28"/>
      <c r="B433" s="29"/>
      <c r="C433" s="30"/>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c r="AT433" s="29"/>
      <c r="AU433" s="29"/>
      <c r="AV433" s="29"/>
      <c r="AW433" s="29"/>
      <c r="AX433" s="29"/>
      <c r="AY433" s="29"/>
      <c r="AZ433" s="29"/>
      <c r="BA433" s="29"/>
      <c r="BB433" s="29"/>
      <c r="BC433" s="29"/>
      <c r="BD433" s="29"/>
      <c r="BE433" s="29"/>
      <c r="BF433" s="29"/>
      <c r="BG433" s="29"/>
      <c r="BH433" s="29"/>
    </row>
    <row r="434" spans="1:60" ht="14.25" customHeight="1" x14ac:dyDescent="0.3">
      <c r="A434" s="28"/>
      <c r="B434" s="29"/>
      <c r="C434" s="30"/>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29"/>
      <c r="AI434" s="29"/>
      <c r="AJ434" s="29"/>
      <c r="AK434" s="29"/>
      <c r="AL434" s="29"/>
      <c r="AM434" s="29"/>
      <c r="AN434" s="29"/>
      <c r="AO434" s="29"/>
      <c r="AP434" s="29"/>
      <c r="AQ434" s="29"/>
      <c r="AR434" s="29"/>
      <c r="AS434" s="29"/>
      <c r="AT434" s="29"/>
      <c r="AU434" s="29"/>
      <c r="AV434" s="29"/>
      <c r="AW434" s="29"/>
      <c r="AX434" s="29"/>
      <c r="AY434" s="29"/>
      <c r="AZ434" s="29"/>
      <c r="BA434" s="29"/>
      <c r="BB434" s="29"/>
      <c r="BC434" s="29"/>
      <c r="BD434" s="29"/>
      <c r="BE434" s="29"/>
      <c r="BF434" s="29"/>
      <c r="BG434" s="29"/>
      <c r="BH434" s="29"/>
    </row>
    <row r="435" spans="1:60" ht="14.25" customHeight="1" x14ac:dyDescent="0.3">
      <c r="A435" s="28"/>
      <c r="B435" s="29"/>
      <c r="C435" s="30"/>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c r="AO435" s="29"/>
      <c r="AP435" s="29"/>
      <c r="AQ435" s="29"/>
      <c r="AR435" s="29"/>
      <c r="AS435" s="29"/>
      <c r="AT435" s="29"/>
      <c r="AU435" s="29"/>
      <c r="AV435" s="29"/>
      <c r="AW435" s="29"/>
      <c r="AX435" s="29"/>
      <c r="AY435" s="29"/>
      <c r="AZ435" s="29"/>
      <c r="BA435" s="29"/>
      <c r="BB435" s="29"/>
      <c r="BC435" s="29"/>
      <c r="BD435" s="29"/>
      <c r="BE435" s="29"/>
      <c r="BF435" s="29"/>
      <c r="BG435" s="29"/>
      <c r="BH435" s="29"/>
    </row>
    <row r="436" spans="1:60" ht="14.25" customHeight="1" x14ac:dyDescent="0.3">
      <c r="A436" s="28"/>
      <c r="B436" s="29"/>
      <c r="C436" s="30"/>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29"/>
      <c r="AI436" s="29"/>
      <c r="AJ436" s="29"/>
      <c r="AK436" s="29"/>
      <c r="AL436" s="29"/>
      <c r="AM436" s="29"/>
      <c r="AN436" s="29"/>
      <c r="AO436" s="29"/>
      <c r="AP436" s="29"/>
      <c r="AQ436" s="29"/>
      <c r="AR436" s="29"/>
      <c r="AS436" s="29"/>
      <c r="AT436" s="29"/>
      <c r="AU436" s="29"/>
      <c r="AV436" s="29"/>
      <c r="AW436" s="29"/>
      <c r="AX436" s="29"/>
      <c r="AY436" s="29"/>
      <c r="AZ436" s="29"/>
      <c r="BA436" s="29"/>
      <c r="BB436" s="29"/>
      <c r="BC436" s="29"/>
      <c r="BD436" s="29"/>
      <c r="BE436" s="29"/>
      <c r="BF436" s="29"/>
      <c r="BG436" s="29"/>
      <c r="BH436" s="29"/>
    </row>
    <row r="437" spans="1:60" ht="14.25" customHeight="1" x14ac:dyDescent="0.3">
      <c r="A437" s="28"/>
      <c r="B437" s="29"/>
      <c r="C437" s="30"/>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c r="AO437" s="29"/>
      <c r="AP437" s="29"/>
      <c r="AQ437" s="29"/>
      <c r="AR437" s="29"/>
      <c r="AS437" s="29"/>
      <c r="AT437" s="29"/>
      <c r="AU437" s="29"/>
      <c r="AV437" s="29"/>
      <c r="AW437" s="29"/>
      <c r="AX437" s="29"/>
      <c r="AY437" s="29"/>
      <c r="AZ437" s="29"/>
      <c r="BA437" s="29"/>
      <c r="BB437" s="29"/>
      <c r="BC437" s="29"/>
      <c r="BD437" s="29"/>
      <c r="BE437" s="29"/>
      <c r="BF437" s="29"/>
      <c r="BG437" s="29"/>
      <c r="BH437" s="29"/>
    </row>
    <row r="438" spans="1:60" ht="14.25" customHeight="1" x14ac:dyDescent="0.3">
      <c r="A438" s="28"/>
      <c r="B438" s="29"/>
      <c r="C438" s="30"/>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29"/>
      <c r="AI438" s="29"/>
      <c r="AJ438" s="29"/>
      <c r="AK438" s="29"/>
      <c r="AL438" s="29"/>
      <c r="AM438" s="29"/>
      <c r="AN438" s="29"/>
      <c r="AO438" s="29"/>
      <c r="AP438" s="29"/>
      <c r="AQ438" s="29"/>
      <c r="AR438" s="29"/>
      <c r="AS438" s="29"/>
      <c r="AT438" s="29"/>
      <c r="AU438" s="29"/>
      <c r="AV438" s="29"/>
      <c r="AW438" s="29"/>
      <c r="AX438" s="29"/>
      <c r="AY438" s="29"/>
      <c r="AZ438" s="29"/>
      <c r="BA438" s="29"/>
      <c r="BB438" s="29"/>
      <c r="BC438" s="29"/>
      <c r="BD438" s="29"/>
      <c r="BE438" s="29"/>
      <c r="BF438" s="29"/>
      <c r="BG438" s="29"/>
      <c r="BH438" s="29"/>
    </row>
    <row r="439" spans="1:60" ht="14.25" customHeight="1" x14ac:dyDescent="0.3">
      <c r="A439" s="28"/>
      <c r="B439" s="29"/>
      <c r="C439" s="30"/>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c r="AT439" s="29"/>
      <c r="AU439" s="29"/>
      <c r="AV439" s="29"/>
      <c r="AW439" s="29"/>
      <c r="AX439" s="29"/>
      <c r="AY439" s="29"/>
      <c r="AZ439" s="29"/>
      <c r="BA439" s="29"/>
      <c r="BB439" s="29"/>
      <c r="BC439" s="29"/>
      <c r="BD439" s="29"/>
      <c r="BE439" s="29"/>
      <c r="BF439" s="29"/>
      <c r="BG439" s="29"/>
      <c r="BH439" s="29"/>
    </row>
    <row r="440" spans="1:60" ht="14.25" customHeight="1" x14ac:dyDescent="0.3">
      <c r="A440" s="28"/>
      <c r="B440" s="29"/>
      <c r="C440" s="30"/>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29"/>
      <c r="AI440" s="29"/>
      <c r="AJ440" s="29"/>
      <c r="AK440" s="29"/>
      <c r="AL440" s="29"/>
      <c r="AM440" s="29"/>
      <c r="AN440" s="29"/>
      <c r="AO440" s="29"/>
      <c r="AP440" s="29"/>
      <c r="AQ440" s="29"/>
      <c r="AR440" s="29"/>
      <c r="AS440" s="29"/>
      <c r="AT440" s="29"/>
      <c r="AU440" s="29"/>
      <c r="AV440" s="29"/>
      <c r="AW440" s="29"/>
      <c r="AX440" s="29"/>
      <c r="AY440" s="29"/>
      <c r="AZ440" s="29"/>
      <c r="BA440" s="29"/>
      <c r="BB440" s="29"/>
      <c r="BC440" s="29"/>
      <c r="BD440" s="29"/>
      <c r="BE440" s="29"/>
      <c r="BF440" s="29"/>
      <c r="BG440" s="29"/>
      <c r="BH440" s="29"/>
    </row>
    <row r="441" spans="1:60" ht="14.25" customHeight="1" x14ac:dyDescent="0.3">
      <c r="A441" s="28"/>
      <c r="B441" s="29"/>
      <c r="C441" s="30"/>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c r="AO441" s="29"/>
      <c r="AP441" s="29"/>
      <c r="AQ441" s="29"/>
      <c r="AR441" s="29"/>
      <c r="AS441" s="29"/>
      <c r="AT441" s="29"/>
      <c r="AU441" s="29"/>
      <c r="AV441" s="29"/>
      <c r="AW441" s="29"/>
      <c r="AX441" s="29"/>
      <c r="AY441" s="29"/>
      <c r="AZ441" s="29"/>
      <c r="BA441" s="29"/>
      <c r="BB441" s="29"/>
      <c r="BC441" s="29"/>
      <c r="BD441" s="29"/>
      <c r="BE441" s="29"/>
      <c r="BF441" s="29"/>
      <c r="BG441" s="29"/>
      <c r="BH441" s="29"/>
    </row>
    <row r="442" spans="1:60" ht="14.25" customHeight="1" x14ac:dyDescent="0.3">
      <c r="A442" s="28"/>
      <c r="B442" s="29"/>
      <c r="C442" s="30"/>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29"/>
      <c r="AI442" s="29"/>
      <c r="AJ442" s="29"/>
      <c r="AK442" s="29"/>
      <c r="AL442" s="29"/>
      <c r="AM442" s="29"/>
      <c r="AN442" s="29"/>
      <c r="AO442" s="29"/>
      <c r="AP442" s="29"/>
      <c r="AQ442" s="29"/>
      <c r="AR442" s="29"/>
      <c r="AS442" s="29"/>
      <c r="AT442" s="29"/>
      <c r="AU442" s="29"/>
      <c r="AV442" s="29"/>
      <c r="AW442" s="29"/>
      <c r="AX442" s="29"/>
      <c r="AY442" s="29"/>
      <c r="AZ442" s="29"/>
      <c r="BA442" s="29"/>
      <c r="BB442" s="29"/>
      <c r="BC442" s="29"/>
      <c r="BD442" s="29"/>
      <c r="BE442" s="29"/>
      <c r="BF442" s="29"/>
      <c r="BG442" s="29"/>
      <c r="BH442" s="29"/>
    </row>
    <row r="443" spans="1:60" ht="14.25" customHeight="1" x14ac:dyDescent="0.3">
      <c r="A443" s="28"/>
      <c r="B443" s="29"/>
      <c r="C443" s="30"/>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c r="AT443" s="29"/>
      <c r="AU443" s="29"/>
      <c r="AV443" s="29"/>
      <c r="AW443" s="29"/>
      <c r="AX443" s="29"/>
      <c r="AY443" s="29"/>
      <c r="AZ443" s="29"/>
      <c r="BA443" s="29"/>
      <c r="BB443" s="29"/>
      <c r="BC443" s="29"/>
      <c r="BD443" s="29"/>
      <c r="BE443" s="29"/>
      <c r="BF443" s="29"/>
      <c r="BG443" s="29"/>
      <c r="BH443" s="29"/>
    </row>
    <row r="444" spans="1:60" ht="14.25" customHeight="1" x14ac:dyDescent="0.3">
      <c r="A444" s="28"/>
      <c r="B444" s="29"/>
      <c r="C444" s="30"/>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29"/>
      <c r="AI444" s="29"/>
      <c r="AJ444" s="29"/>
      <c r="AK444" s="29"/>
      <c r="AL444" s="29"/>
      <c r="AM444" s="29"/>
      <c r="AN444" s="29"/>
      <c r="AO444" s="29"/>
      <c r="AP444" s="29"/>
      <c r="AQ444" s="29"/>
      <c r="AR444" s="29"/>
      <c r="AS444" s="29"/>
      <c r="AT444" s="29"/>
      <c r="AU444" s="29"/>
      <c r="AV444" s="29"/>
      <c r="AW444" s="29"/>
      <c r="AX444" s="29"/>
      <c r="AY444" s="29"/>
      <c r="AZ444" s="29"/>
      <c r="BA444" s="29"/>
      <c r="BB444" s="29"/>
      <c r="BC444" s="29"/>
      <c r="BD444" s="29"/>
      <c r="BE444" s="29"/>
      <c r="BF444" s="29"/>
      <c r="BG444" s="29"/>
      <c r="BH444" s="29"/>
    </row>
    <row r="445" spans="1:60" ht="14.25" customHeight="1" x14ac:dyDescent="0.3">
      <c r="A445" s="28"/>
      <c r="B445" s="29"/>
      <c r="C445" s="30"/>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c r="AO445" s="29"/>
      <c r="AP445" s="29"/>
      <c r="AQ445" s="29"/>
      <c r="AR445" s="29"/>
      <c r="AS445" s="29"/>
      <c r="AT445" s="29"/>
      <c r="AU445" s="29"/>
      <c r="AV445" s="29"/>
      <c r="AW445" s="29"/>
      <c r="AX445" s="29"/>
      <c r="AY445" s="29"/>
      <c r="AZ445" s="29"/>
      <c r="BA445" s="29"/>
      <c r="BB445" s="29"/>
      <c r="BC445" s="29"/>
      <c r="BD445" s="29"/>
      <c r="BE445" s="29"/>
      <c r="BF445" s="29"/>
      <c r="BG445" s="29"/>
      <c r="BH445" s="29"/>
    </row>
    <row r="446" spans="1:60" ht="14.25" customHeight="1" x14ac:dyDescent="0.3">
      <c r="A446" s="28"/>
      <c r="B446" s="29"/>
      <c r="C446" s="30"/>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29"/>
      <c r="AI446" s="29"/>
      <c r="AJ446" s="29"/>
      <c r="AK446" s="29"/>
      <c r="AL446" s="29"/>
      <c r="AM446" s="29"/>
      <c r="AN446" s="29"/>
      <c r="AO446" s="29"/>
      <c r="AP446" s="29"/>
      <c r="AQ446" s="29"/>
      <c r="AR446" s="29"/>
      <c r="AS446" s="29"/>
      <c r="AT446" s="29"/>
      <c r="AU446" s="29"/>
      <c r="AV446" s="29"/>
      <c r="AW446" s="29"/>
      <c r="AX446" s="29"/>
      <c r="AY446" s="29"/>
      <c r="AZ446" s="29"/>
      <c r="BA446" s="29"/>
      <c r="BB446" s="29"/>
      <c r="BC446" s="29"/>
      <c r="BD446" s="29"/>
      <c r="BE446" s="29"/>
      <c r="BF446" s="29"/>
      <c r="BG446" s="29"/>
      <c r="BH446" s="29"/>
    </row>
    <row r="447" spans="1:60" ht="14.25" customHeight="1" x14ac:dyDescent="0.3">
      <c r="A447" s="28"/>
      <c r="B447" s="29"/>
      <c r="C447" s="30"/>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c r="AO447" s="29"/>
      <c r="AP447" s="29"/>
      <c r="AQ447" s="29"/>
      <c r="AR447" s="29"/>
      <c r="AS447" s="29"/>
      <c r="AT447" s="29"/>
      <c r="AU447" s="29"/>
      <c r="AV447" s="29"/>
      <c r="AW447" s="29"/>
      <c r="AX447" s="29"/>
      <c r="AY447" s="29"/>
      <c r="AZ447" s="29"/>
      <c r="BA447" s="29"/>
      <c r="BB447" s="29"/>
      <c r="BC447" s="29"/>
      <c r="BD447" s="29"/>
      <c r="BE447" s="29"/>
      <c r="BF447" s="29"/>
      <c r="BG447" s="29"/>
      <c r="BH447" s="29"/>
    </row>
    <row r="448" spans="1:60" ht="14.25" customHeight="1" x14ac:dyDescent="0.3">
      <c r="A448" s="28"/>
      <c r="B448" s="29"/>
      <c r="C448" s="30"/>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29"/>
      <c r="AI448" s="29"/>
      <c r="AJ448" s="29"/>
      <c r="AK448" s="29"/>
      <c r="AL448" s="29"/>
      <c r="AM448" s="29"/>
      <c r="AN448" s="29"/>
      <c r="AO448" s="29"/>
      <c r="AP448" s="29"/>
      <c r="AQ448" s="29"/>
      <c r="AR448" s="29"/>
      <c r="AS448" s="29"/>
      <c r="AT448" s="29"/>
      <c r="AU448" s="29"/>
      <c r="AV448" s="29"/>
      <c r="AW448" s="29"/>
      <c r="AX448" s="29"/>
      <c r="AY448" s="29"/>
      <c r="AZ448" s="29"/>
      <c r="BA448" s="29"/>
      <c r="BB448" s="29"/>
      <c r="BC448" s="29"/>
      <c r="BD448" s="29"/>
      <c r="BE448" s="29"/>
      <c r="BF448" s="29"/>
      <c r="BG448" s="29"/>
      <c r="BH448" s="29"/>
    </row>
    <row r="449" spans="1:60" ht="14.25" customHeight="1" x14ac:dyDescent="0.3">
      <c r="A449" s="28"/>
      <c r="B449" s="29"/>
      <c r="C449" s="30"/>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c r="AT449" s="29"/>
      <c r="AU449" s="29"/>
      <c r="AV449" s="29"/>
      <c r="AW449" s="29"/>
      <c r="AX449" s="29"/>
      <c r="AY449" s="29"/>
      <c r="AZ449" s="29"/>
      <c r="BA449" s="29"/>
      <c r="BB449" s="29"/>
      <c r="BC449" s="29"/>
      <c r="BD449" s="29"/>
      <c r="BE449" s="29"/>
      <c r="BF449" s="29"/>
      <c r="BG449" s="29"/>
      <c r="BH449" s="29"/>
    </row>
    <row r="450" spans="1:60" ht="14.25" customHeight="1" x14ac:dyDescent="0.3">
      <c r="A450" s="28"/>
      <c r="B450" s="29"/>
      <c r="C450" s="30"/>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29"/>
      <c r="AI450" s="29"/>
      <c r="AJ450" s="29"/>
      <c r="AK450" s="29"/>
      <c r="AL450" s="29"/>
      <c r="AM450" s="29"/>
      <c r="AN450" s="29"/>
      <c r="AO450" s="29"/>
      <c r="AP450" s="29"/>
      <c r="AQ450" s="29"/>
      <c r="AR450" s="29"/>
      <c r="AS450" s="29"/>
      <c r="AT450" s="29"/>
      <c r="AU450" s="29"/>
      <c r="AV450" s="29"/>
      <c r="AW450" s="29"/>
      <c r="AX450" s="29"/>
      <c r="AY450" s="29"/>
      <c r="AZ450" s="29"/>
      <c r="BA450" s="29"/>
      <c r="BB450" s="29"/>
      <c r="BC450" s="29"/>
      <c r="BD450" s="29"/>
      <c r="BE450" s="29"/>
      <c r="BF450" s="29"/>
      <c r="BG450" s="29"/>
      <c r="BH450" s="29"/>
    </row>
    <row r="451" spans="1:60" ht="14.25" customHeight="1" x14ac:dyDescent="0.3">
      <c r="A451" s="28"/>
      <c r="B451" s="29"/>
      <c r="C451" s="30"/>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c r="AO451" s="29"/>
      <c r="AP451" s="29"/>
      <c r="AQ451" s="29"/>
      <c r="AR451" s="29"/>
      <c r="AS451" s="29"/>
      <c r="AT451" s="29"/>
      <c r="AU451" s="29"/>
      <c r="AV451" s="29"/>
      <c r="AW451" s="29"/>
      <c r="AX451" s="29"/>
      <c r="AY451" s="29"/>
      <c r="AZ451" s="29"/>
      <c r="BA451" s="29"/>
      <c r="BB451" s="29"/>
      <c r="BC451" s="29"/>
      <c r="BD451" s="29"/>
      <c r="BE451" s="29"/>
      <c r="BF451" s="29"/>
      <c r="BG451" s="29"/>
      <c r="BH451" s="29"/>
    </row>
    <row r="452" spans="1:60" ht="14.25" customHeight="1" x14ac:dyDescent="0.3">
      <c r="A452" s="28"/>
      <c r="B452" s="29"/>
      <c r="C452" s="30"/>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J452" s="29"/>
      <c r="AK452" s="29"/>
      <c r="AL452" s="29"/>
      <c r="AM452" s="29"/>
      <c r="AN452" s="29"/>
      <c r="AO452" s="29"/>
      <c r="AP452" s="29"/>
      <c r="AQ452" s="29"/>
      <c r="AR452" s="29"/>
      <c r="AS452" s="29"/>
      <c r="AT452" s="29"/>
      <c r="AU452" s="29"/>
      <c r="AV452" s="29"/>
      <c r="AW452" s="29"/>
      <c r="AX452" s="29"/>
      <c r="AY452" s="29"/>
      <c r="AZ452" s="29"/>
      <c r="BA452" s="29"/>
      <c r="BB452" s="29"/>
      <c r="BC452" s="29"/>
      <c r="BD452" s="29"/>
      <c r="BE452" s="29"/>
      <c r="BF452" s="29"/>
      <c r="BG452" s="29"/>
      <c r="BH452" s="29"/>
    </row>
    <row r="453" spans="1:60" ht="14.25" customHeight="1" x14ac:dyDescent="0.3">
      <c r="A453" s="28"/>
      <c r="B453" s="29"/>
      <c r="C453" s="30"/>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c r="AV453" s="29"/>
      <c r="AW453" s="29"/>
      <c r="AX453" s="29"/>
      <c r="AY453" s="29"/>
      <c r="AZ453" s="29"/>
      <c r="BA453" s="29"/>
      <c r="BB453" s="29"/>
      <c r="BC453" s="29"/>
      <c r="BD453" s="29"/>
      <c r="BE453" s="29"/>
      <c r="BF453" s="29"/>
      <c r="BG453" s="29"/>
      <c r="BH453" s="29"/>
    </row>
    <row r="454" spans="1:60" ht="14.25" customHeight="1" x14ac:dyDescent="0.3">
      <c r="A454" s="28"/>
      <c r="B454" s="29"/>
      <c r="C454" s="30"/>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c r="AN454" s="29"/>
      <c r="AO454" s="29"/>
      <c r="AP454" s="29"/>
      <c r="AQ454" s="29"/>
      <c r="AR454" s="29"/>
      <c r="AS454" s="29"/>
      <c r="AT454" s="29"/>
      <c r="AU454" s="29"/>
      <c r="AV454" s="29"/>
      <c r="AW454" s="29"/>
      <c r="AX454" s="29"/>
      <c r="AY454" s="29"/>
      <c r="AZ454" s="29"/>
      <c r="BA454" s="29"/>
      <c r="BB454" s="29"/>
      <c r="BC454" s="29"/>
      <c r="BD454" s="29"/>
      <c r="BE454" s="29"/>
      <c r="BF454" s="29"/>
      <c r="BG454" s="29"/>
      <c r="BH454" s="29"/>
    </row>
    <row r="455" spans="1:60" ht="14.25" customHeight="1" x14ac:dyDescent="0.3">
      <c r="A455" s="28"/>
      <c r="B455" s="29"/>
      <c r="C455" s="30"/>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c r="AV455" s="29"/>
      <c r="AW455" s="29"/>
      <c r="AX455" s="29"/>
      <c r="AY455" s="29"/>
      <c r="AZ455" s="29"/>
      <c r="BA455" s="29"/>
      <c r="BB455" s="29"/>
      <c r="BC455" s="29"/>
      <c r="BD455" s="29"/>
      <c r="BE455" s="29"/>
      <c r="BF455" s="29"/>
      <c r="BG455" s="29"/>
      <c r="BH455" s="29"/>
    </row>
    <row r="456" spans="1:60" ht="14.25" customHeight="1" x14ac:dyDescent="0.3">
      <c r="A456" s="28"/>
      <c r="B456" s="29"/>
      <c r="C456" s="30"/>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c r="AN456" s="29"/>
      <c r="AO456" s="29"/>
      <c r="AP456" s="29"/>
      <c r="AQ456" s="29"/>
      <c r="AR456" s="29"/>
      <c r="AS456" s="29"/>
      <c r="AT456" s="29"/>
      <c r="AU456" s="29"/>
      <c r="AV456" s="29"/>
      <c r="AW456" s="29"/>
      <c r="AX456" s="29"/>
      <c r="AY456" s="29"/>
      <c r="AZ456" s="29"/>
      <c r="BA456" s="29"/>
      <c r="BB456" s="29"/>
      <c r="BC456" s="29"/>
      <c r="BD456" s="29"/>
      <c r="BE456" s="29"/>
      <c r="BF456" s="29"/>
      <c r="BG456" s="29"/>
      <c r="BH456" s="29"/>
    </row>
    <row r="457" spans="1:60" ht="14.25" customHeight="1" x14ac:dyDescent="0.3">
      <c r="A457" s="28"/>
      <c r="B457" s="29"/>
      <c r="C457" s="30"/>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c r="AV457" s="29"/>
      <c r="AW457" s="29"/>
      <c r="AX457" s="29"/>
      <c r="AY457" s="29"/>
      <c r="AZ457" s="29"/>
      <c r="BA457" s="29"/>
      <c r="BB457" s="29"/>
      <c r="BC457" s="29"/>
      <c r="BD457" s="29"/>
      <c r="BE457" s="29"/>
      <c r="BF457" s="29"/>
      <c r="BG457" s="29"/>
      <c r="BH457" s="29"/>
    </row>
    <row r="458" spans="1:60" ht="14.25" customHeight="1" x14ac:dyDescent="0.3">
      <c r="A458" s="28"/>
      <c r="B458" s="29"/>
      <c r="C458" s="30"/>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c r="AN458" s="29"/>
      <c r="AO458" s="29"/>
      <c r="AP458" s="29"/>
      <c r="AQ458" s="29"/>
      <c r="AR458" s="29"/>
      <c r="AS458" s="29"/>
      <c r="AT458" s="29"/>
      <c r="AU458" s="29"/>
      <c r="AV458" s="29"/>
      <c r="AW458" s="29"/>
      <c r="AX458" s="29"/>
      <c r="AY458" s="29"/>
      <c r="AZ458" s="29"/>
      <c r="BA458" s="29"/>
      <c r="BB458" s="29"/>
      <c r="BC458" s="29"/>
      <c r="BD458" s="29"/>
      <c r="BE458" s="29"/>
      <c r="BF458" s="29"/>
      <c r="BG458" s="29"/>
      <c r="BH458" s="29"/>
    </row>
    <row r="459" spans="1:60" ht="14.25" customHeight="1" x14ac:dyDescent="0.3">
      <c r="A459" s="28"/>
      <c r="B459" s="29"/>
      <c r="C459" s="30"/>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c r="AT459" s="29"/>
      <c r="AU459" s="29"/>
      <c r="AV459" s="29"/>
      <c r="AW459" s="29"/>
      <c r="AX459" s="29"/>
      <c r="AY459" s="29"/>
      <c r="AZ459" s="29"/>
      <c r="BA459" s="29"/>
      <c r="BB459" s="29"/>
      <c r="BC459" s="29"/>
      <c r="BD459" s="29"/>
      <c r="BE459" s="29"/>
      <c r="BF459" s="29"/>
      <c r="BG459" s="29"/>
      <c r="BH459" s="29"/>
    </row>
    <row r="460" spans="1:60" ht="14.25" customHeight="1" x14ac:dyDescent="0.3">
      <c r="A460" s="28"/>
      <c r="B460" s="29"/>
      <c r="C460" s="30"/>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29"/>
      <c r="AI460" s="29"/>
      <c r="AJ460" s="29"/>
      <c r="AK460" s="29"/>
      <c r="AL460" s="29"/>
      <c r="AM460" s="29"/>
      <c r="AN460" s="29"/>
      <c r="AO460" s="29"/>
      <c r="AP460" s="29"/>
      <c r="AQ460" s="29"/>
      <c r="AR460" s="29"/>
      <c r="AS460" s="29"/>
      <c r="AT460" s="29"/>
      <c r="AU460" s="29"/>
      <c r="AV460" s="29"/>
      <c r="AW460" s="29"/>
      <c r="AX460" s="29"/>
      <c r="AY460" s="29"/>
      <c r="AZ460" s="29"/>
      <c r="BA460" s="29"/>
      <c r="BB460" s="29"/>
      <c r="BC460" s="29"/>
      <c r="BD460" s="29"/>
      <c r="BE460" s="29"/>
      <c r="BF460" s="29"/>
      <c r="BG460" s="29"/>
      <c r="BH460" s="29"/>
    </row>
    <row r="461" spans="1:60" ht="14.25" customHeight="1" x14ac:dyDescent="0.3">
      <c r="A461" s="28"/>
      <c r="B461" s="29"/>
      <c r="C461" s="30"/>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c r="AT461" s="29"/>
      <c r="AU461" s="29"/>
      <c r="AV461" s="29"/>
      <c r="AW461" s="29"/>
      <c r="AX461" s="29"/>
      <c r="AY461" s="29"/>
      <c r="AZ461" s="29"/>
      <c r="BA461" s="29"/>
      <c r="BB461" s="29"/>
      <c r="BC461" s="29"/>
      <c r="BD461" s="29"/>
      <c r="BE461" s="29"/>
      <c r="BF461" s="29"/>
      <c r="BG461" s="29"/>
      <c r="BH461" s="29"/>
    </row>
    <row r="462" spans="1:60" ht="14.25" customHeight="1" x14ac:dyDescent="0.3">
      <c r="A462" s="28"/>
      <c r="B462" s="29"/>
      <c r="C462" s="30"/>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29"/>
      <c r="AI462" s="29"/>
      <c r="AJ462" s="29"/>
      <c r="AK462" s="29"/>
      <c r="AL462" s="29"/>
      <c r="AM462" s="29"/>
      <c r="AN462" s="29"/>
      <c r="AO462" s="29"/>
      <c r="AP462" s="29"/>
      <c r="AQ462" s="29"/>
      <c r="AR462" s="29"/>
      <c r="AS462" s="29"/>
      <c r="AT462" s="29"/>
      <c r="AU462" s="29"/>
      <c r="AV462" s="29"/>
      <c r="AW462" s="29"/>
      <c r="AX462" s="29"/>
      <c r="AY462" s="29"/>
      <c r="AZ462" s="29"/>
      <c r="BA462" s="29"/>
      <c r="BB462" s="29"/>
      <c r="BC462" s="29"/>
      <c r="BD462" s="29"/>
      <c r="BE462" s="29"/>
      <c r="BF462" s="29"/>
      <c r="BG462" s="29"/>
      <c r="BH462" s="29"/>
    </row>
    <row r="463" spans="1:60" ht="14.25" customHeight="1" x14ac:dyDescent="0.3">
      <c r="A463" s="28"/>
      <c r="B463" s="29"/>
      <c r="C463" s="30"/>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c r="AO463" s="29"/>
      <c r="AP463" s="29"/>
      <c r="AQ463" s="29"/>
      <c r="AR463" s="29"/>
      <c r="AS463" s="29"/>
      <c r="AT463" s="29"/>
      <c r="AU463" s="29"/>
      <c r="AV463" s="29"/>
      <c r="AW463" s="29"/>
      <c r="AX463" s="29"/>
      <c r="AY463" s="29"/>
      <c r="AZ463" s="29"/>
      <c r="BA463" s="29"/>
      <c r="BB463" s="29"/>
      <c r="BC463" s="29"/>
      <c r="BD463" s="29"/>
      <c r="BE463" s="29"/>
      <c r="BF463" s="29"/>
      <c r="BG463" s="29"/>
      <c r="BH463" s="29"/>
    </row>
    <row r="464" spans="1:60" ht="14.25" customHeight="1" x14ac:dyDescent="0.3">
      <c r="A464" s="28"/>
      <c r="B464" s="29"/>
      <c r="C464" s="30"/>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29"/>
      <c r="AI464" s="29"/>
      <c r="AJ464" s="29"/>
      <c r="AK464" s="29"/>
      <c r="AL464" s="29"/>
      <c r="AM464" s="29"/>
      <c r="AN464" s="29"/>
      <c r="AO464" s="29"/>
      <c r="AP464" s="29"/>
      <c r="AQ464" s="29"/>
      <c r="AR464" s="29"/>
      <c r="AS464" s="29"/>
      <c r="AT464" s="29"/>
      <c r="AU464" s="29"/>
      <c r="AV464" s="29"/>
      <c r="AW464" s="29"/>
      <c r="AX464" s="29"/>
      <c r="AY464" s="29"/>
      <c r="AZ464" s="29"/>
      <c r="BA464" s="29"/>
      <c r="BB464" s="29"/>
      <c r="BC464" s="29"/>
      <c r="BD464" s="29"/>
      <c r="BE464" s="29"/>
      <c r="BF464" s="29"/>
      <c r="BG464" s="29"/>
      <c r="BH464" s="29"/>
    </row>
    <row r="465" spans="1:60" ht="14.25" customHeight="1" x14ac:dyDescent="0.3">
      <c r="A465" s="28"/>
      <c r="B465" s="29"/>
      <c r="C465" s="30"/>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c r="AT465" s="29"/>
      <c r="AU465" s="29"/>
      <c r="AV465" s="29"/>
      <c r="AW465" s="29"/>
      <c r="AX465" s="29"/>
      <c r="AY465" s="29"/>
      <c r="AZ465" s="29"/>
      <c r="BA465" s="29"/>
      <c r="BB465" s="29"/>
      <c r="BC465" s="29"/>
      <c r="BD465" s="29"/>
      <c r="BE465" s="29"/>
      <c r="BF465" s="29"/>
      <c r="BG465" s="29"/>
      <c r="BH465" s="29"/>
    </row>
    <row r="466" spans="1:60" ht="14.25" customHeight="1" x14ac:dyDescent="0.3">
      <c r="A466" s="28"/>
      <c r="B466" s="29"/>
      <c r="C466" s="30"/>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29"/>
      <c r="AI466" s="29"/>
      <c r="AJ466" s="29"/>
      <c r="AK466" s="29"/>
      <c r="AL466" s="29"/>
      <c r="AM466" s="29"/>
      <c r="AN466" s="29"/>
      <c r="AO466" s="29"/>
      <c r="AP466" s="29"/>
      <c r="AQ466" s="29"/>
      <c r="AR466" s="29"/>
      <c r="AS466" s="29"/>
      <c r="AT466" s="29"/>
      <c r="AU466" s="29"/>
      <c r="AV466" s="29"/>
      <c r="AW466" s="29"/>
      <c r="AX466" s="29"/>
      <c r="AY466" s="29"/>
      <c r="AZ466" s="29"/>
      <c r="BA466" s="29"/>
      <c r="BB466" s="29"/>
      <c r="BC466" s="29"/>
      <c r="BD466" s="29"/>
      <c r="BE466" s="29"/>
      <c r="BF466" s="29"/>
      <c r="BG466" s="29"/>
      <c r="BH466" s="29"/>
    </row>
    <row r="467" spans="1:60" ht="14.25" customHeight="1" x14ac:dyDescent="0.3">
      <c r="A467" s="28"/>
      <c r="B467" s="29"/>
      <c r="C467" s="30"/>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c r="AT467" s="29"/>
      <c r="AU467" s="29"/>
      <c r="AV467" s="29"/>
      <c r="AW467" s="29"/>
      <c r="AX467" s="29"/>
      <c r="AY467" s="29"/>
      <c r="AZ467" s="29"/>
      <c r="BA467" s="29"/>
      <c r="BB467" s="29"/>
      <c r="BC467" s="29"/>
      <c r="BD467" s="29"/>
      <c r="BE467" s="29"/>
      <c r="BF467" s="29"/>
      <c r="BG467" s="29"/>
      <c r="BH467" s="29"/>
    </row>
    <row r="468" spans="1:60" ht="14.25" customHeight="1" x14ac:dyDescent="0.3">
      <c r="A468" s="28"/>
      <c r="B468" s="29"/>
      <c r="C468" s="30"/>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29"/>
      <c r="AI468" s="29"/>
      <c r="AJ468" s="29"/>
      <c r="AK468" s="29"/>
      <c r="AL468" s="29"/>
      <c r="AM468" s="29"/>
      <c r="AN468" s="29"/>
      <c r="AO468" s="29"/>
      <c r="AP468" s="29"/>
      <c r="AQ468" s="29"/>
      <c r="AR468" s="29"/>
      <c r="AS468" s="29"/>
      <c r="AT468" s="29"/>
      <c r="AU468" s="29"/>
      <c r="AV468" s="29"/>
      <c r="AW468" s="29"/>
      <c r="AX468" s="29"/>
      <c r="AY468" s="29"/>
      <c r="AZ468" s="29"/>
      <c r="BA468" s="29"/>
      <c r="BB468" s="29"/>
      <c r="BC468" s="29"/>
      <c r="BD468" s="29"/>
      <c r="BE468" s="29"/>
      <c r="BF468" s="29"/>
      <c r="BG468" s="29"/>
      <c r="BH468" s="29"/>
    </row>
    <row r="469" spans="1:60" ht="14.25" customHeight="1" x14ac:dyDescent="0.3">
      <c r="A469" s="28"/>
      <c r="B469" s="29"/>
      <c r="C469" s="30"/>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c r="AO469" s="29"/>
      <c r="AP469" s="29"/>
      <c r="AQ469" s="29"/>
      <c r="AR469" s="29"/>
      <c r="AS469" s="29"/>
      <c r="AT469" s="29"/>
      <c r="AU469" s="29"/>
      <c r="AV469" s="29"/>
      <c r="AW469" s="29"/>
      <c r="AX469" s="29"/>
      <c r="AY469" s="29"/>
      <c r="AZ469" s="29"/>
      <c r="BA469" s="29"/>
      <c r="BB469" s="29"/>
      <c r="BC469" s="29"/>
      <c r="BD469" s="29"/>
      <c r="BE469" s="29"/>
      <c r="BF469" s="29"/>
      <c r="BG469" s="29"/>
      <c r="BH469" s="29"/>
    </row>
    <row r="470" spans="1:60" ht="14.25" customHeight="1" x14ac:dyDescent="0.3">
      <c r="A470" s="28"/>
      <c r="B470" s="29"/>
      <c r="C470" s="30"/>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29"/>
      <c r="AI470" s="29"/>
      <c r="AJ470" s="29"/>
      <c r="AK470" s="29"/>
      <c r="AL470" s="29"/>
      <c r="AM470" s="29"/>
      <c r="AN470" s="29"/>
      <c r="AO470" s="29"/>
      <c r="AP470" s="29"/>
      <c r="AQ470" s="29"/>
      <c r="AR470" s="29"/>
      <c r="AS470" s="29"/>
      <c r="AT470" s="29"/>
      <c r="AU470" s="29"/>
      <c r="AV470" s="29"/>
      <c r="AW470" s="29"/>
      <c r="AX470" s="29"/>
      <c r="AY470" s="29"/>
      <c r="AZ470" s="29"/>
      <c r="BA470" s="29"/>
      <c r="BB470" s="29"/>
      <c r="BC470" s="29"/>
      <c r="BD470" s="29"/>
      <c r="BE470" s="29"/>
      <c r="BF470" s="29"/>
      <c r="BG470" s="29"/>
      <c r="BH470" s="29"/>
    </row>
    <row r="471" spans="1:60" ht="14.25" customHeight="1" x14ac:dyDescent="0.3">
      <c r="A471" s="28"/>
      <c r="B471" s="29"/>
      <c r="C471" s="30"/>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c r="AT471" s="29"/>
      <c r="AU471" s="29"/>
      <c r="AV471" s="29"/>
      <c r="AW471" s="29"/>
      <c r="AX471" s="29"/>
      <c r="AY471" s="29"/>
      <c r="AZ471" s="29"/>
      <c r="BA471" s="29"/>
      <c r="BB471" s="29"/>
      <c r="BC471" s="29"/>
      <c r="BD471" s="29"/>
      <c r="BE471" s="29"/>
      <c r="BF471" s="29"/>
      <c r="BG471" s="29"/>
      <c r="BH471" s="29"/>
    </row>
    <row r="472" spans="1:60" ht="14.25" customHeight="1" x14ac:dyDescent="0.3">
      <c r="A472" s="28"/>
      <c r="B472" s="29"/>
      <c r="C472" s="30"/>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29"/>
      <c r="AI472" s="29"/>
      <c r="AJ472" s="29"/>
      <c r="AK472" s="29"/>
      <c r="AL472" s="29"/>
      <c r="AM472" s="29"/>
      <c r="AN472" s="29"/>
      <c r="AO472" s="29"/>
      <c r="AP472" s="29"/>
      <c r="AQ472" s="29"/>
      <c r="AR472" s="29"/>
      <c r="AS472" s="29"/>
      <c r="AT472" s="29"/>
      <c r="AU472" s="29"/>
      <c r="AV472" s="29"/>
      <c r="AW472" s="29"/>
      <c r="AX472" s="29"/>
      <c r="AY472" s="29"/>
      <c r="AZ472" s="29"/>
      <c r="BA472" s="29"/>
      <c r="BB472" s="29"/>
      <c r="BC472" s="29"/>
      <c r="BD472" s="29"/>
      <c r="BE472" s="29"/>
      <c r="BF472" s="29"/>
      <c r="BG472" s="29"/>
      <c r="BH472" s="29"/>
    </row>
    <row r="473" spans="1:60" ht="14.25" customHeight="1" x14ac:dyDescent="0.3">
      <c r="A473" s="28"/>
      <c r="B473" s="29"/>
      <c r="C473" s="30"/>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c r="AT473" s="29"/>
      <c r="AU473" s="29"/>
      <c r="AV473" s="29"/>
      <c r="AW473" s="29"/>
      <c r="AX473" s="29"/>
      <c r="AY473" s="29"/>
      <c r="AZ473" s="29"/>
      <c r="BA473" s="29"/>
      <c r="BB473" s="29"/>
      <c r="BC473" s="29"/>
      <c r="BD473" s="29"/>
      <c r="BE473" s="29"/>
      <c r="BF473" s="29"/>
      <c r="BG473" s="29"/>
      <c r="BH473" s="29"/>
    </row>
    <row r="474" spans="1:60" ht="14.25" customHeight="1" x14ac:dyDescent="0.3">
      <c r="A474" s="28"/>
      <c r="B474" s="29"/>
      <c r="C474" s="30"/>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29"/>
      <c r="AI474" s="29"/>
      <c r="AJ474" s="29"/>
      <c r="AK474" s="29"/>
      <c r="AL474" s="29"/>
      <c r="AM474" s="29"/>
      <c r="AN474" s="29"/>
      <c r="AO474" s="29"/>
      <c r="AP474" s="29"/>
      <c r="AQ474" s="29"/>
      <c r="AR474" s="29"/>
      <c r="AS474" s="29"/>
      <c r="AT474" s="29"/>
      <c r="AU474" s="29"/>
      <c r="AV474" s="29"/>
      <c r="AW474" s="29"/>
      <c r="AX474" s="29"/>
      <c r="AY474" s="29"/>
      <c r="AZ474" s="29"/>
      <c r="BA474" s="29"/>
      <c r="BB474" s="29"/>
      <c r="BC474" s="29"/>
      <c r="BD474" s="29"/>
      <c r="BE474" s="29"/>
      <c r="BF474" s="29"/>
      <c r="BG474" s="29"/>
      <c r="BH474" s="29"/>
    </row>
    <row r="475" spans="1:60" ht="14.25" customHeight="1" x14ac:dyDescent="0.3">
      <c r="A475" s="28"/>
      <c r="B475" s="29"/>
      <c r="C475" s="30"/>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c r="AT475" s="29"/>
      <c r="AU475" s="29"/>
      <c r="AV475" s="29"/>
      <c r="AW475" s="29"/>
      <c r="AX475" s="29"/>
      <c r="AY475" s="29"/>
      <c r="AZ475" s="29"/>
      <c r="BA475" s="29"/>
      <c r="BB475" s="29"/>
      <c r="BC475" s="29"/>
      <c r="BD475" s="29"/>
      <c r="BE475" s="29"/>
      <c r="BF475" s="29"/>
      <c r="BG475" s="29"/>
      <c r="BH475" s="29"/>
    </row>
    <row r="476" spans="1:60" ht="14.25" customHeight="1" x14ac:dyDescent="0.3">
      <c r="A476" s="28"/>
      <c r="B476" s="29"/>
      <c r="C476" s="30"/>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29"/>
      <c r="AI476" s="29"/>
      <c r="AJ476" s="29"/>
      <c r="AK476" s="29"/>
      <c r="AL476" s="29"/>
      <c r="AM476" s="29"/>
      <c r="AN476" s="29"/>
      <c r="AO476" s="29"/>
      <c r="AP476" s="29"/>
      <c r="AQ476" s="29"/>
      <c r="AR476" s="29"/>
      <c r="AS476" s="29"/>
      <c r="AT476" s="29"/>
      <c r="AU476" s="29"/>
      <c r="AV476" s="29"/>
      <c r="AW476" s="29"/>
      <c r="AX476" s="29"/>
      <c r="AY476" s="29"/>
      <c r="AZ476" s="29"/>
      <c r="BA476" s="29"/>
      <c r="BB476" s="29"/>
      <c r="BC476" s="29"/>
      <c r="BD476" s="29"/>
      <c r="BE476" s="29"/>
      <c r="BF476" s="29"/>
      <c r="BG476" s="29"/>
      <c r="BH476" s="29"/>
    </row>
    <row r="477" spans="1:60" ht="14.25" customHeight="1" x14ac:dyDescent="0.3">
      <c r="A477" s="28"/>
      <c r="B477" s="29"/>
      <c r="C477" s="30"/>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c r="AT477" s="29"/>
      <c r="AU477" s="29"/>
      <c r="AV477" s="29"/>
      <c r="AW477" s="29"/>
      <c r="AX477" s="29"/>
      <c r="AY477" s="29"/>
      <c r="AZ477" s="29"/>
      <c r="BA477" s="29"/>
      <c r="BB477" s="29"/>
      <c r="BC477" s="29"/>
      <c r="BD477" s="29"/>
      <c r="BE477" s="29"/>
      <c r="BF477" s="29"/>
      <c r="BG477" s="29"/>
      <c r="BH477" s="29"/>
    </row>
    <row r="478" spans="1:60" ht="14.25" customHeight="1" x14ac:dyDescent="0.3">
      <c r="A478" s="28"/>
      <c r="B478" s="29"/>
      <c r="C478" s="30"/>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29"/>
      <c r="AJ478" s="29"/>
      <c r="AK478" s="29"/>
      <c r="AL478" s="29"/>
      <c r="AM478" s="29"/>
      <c r="AN478" s="29"/>
      <c r="AO478" s="29"/>
      <c r="AP478" s="29"/>
      <c r="AQ478" s="29"/>
      <c r="AR478" s="29"/>
      <c r="AS478" s="29"/>
      <c r="AT478" s="29"/>
      <c r="AU478" s="29"/>
      <c r="AV478" s="29"/>
      <c r="AW478" s="29"/>
      <c r="AX478" s="29"/>
      <c r="AY478" s="29"/>
      <c r="AZ478" s="29"/>
      <c r="BA478" s="29"/>
      <c r="BB478" s="29"/>
      <c r="BC478" s="29"/>
      <c r="BD478" s="29"/>
      <c r="BE478" s="29"/>
      <c r="BF478" s="29"/>
      <c r="BG478" s="29"/>
      <c r="BH478" s="29"/>
    </row>
    <row r="479" spans="1:60" ht="14.25" customHeight="1" x14ac:dyDescent="0.3">
      <c r="A479" s="28"/>
      <c r="B479" s="29"/>
      <c r="C479" s="30"/>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c r="AO479" s="29"/>
      <c r="AP479" s="29"/>
      <c r="AQ479" s="29"/>
      <c r="AR479" s="29"/>
      <c r="AS479" s="29"/>
      <c r="AT479" s="29"/>
      <c r="AU479" s="29"/>
      <c r="AV479" s="29"/>
      <c r="AW479" s="29"/>
      <c r="AX479" s="29"/>
      <c r="AY479" s="29"/>
      <c r="AZ479" s="29"/>
      <c r="BA479" s="29"/>
      <c r="BB479" s="29"/>
      <c r="BC479" s="29"/>
      <c r="BD479" s="29"/>
      <c r="BE479" s="29"/>
      <c r="BF479" s="29"/>
      <c r="BG479" s="29"/>
      <c r="BH479" s="29"/>
    </row>
    <row r="480" spans="1:60" ht="14.25" customHeight="1" x14ac:dyDescent="0.3">
      <c r="A480" s="28"/>
      <c r="B480" s="29"/>
      <c r="C480" s="30"/>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29"/>
      <c r="AI480" s="29"/>
      <c r="AJ480" s="29"/>
      <c r="AK480" s="29"/>
      <c r="AL480" s="29"/>
      <c r="AM480" s="29"/>
      <c r="AN480" s="29"/>
      <c r="AO480" s="29"/>
      <c r="AP480" s="29"/>
      <c r="AQ480" s="29"/>
      <c r="AR480" s="29"/>
      <c r="AS480" s="29"/>
      <c r="AT480" s="29"/>
      <c r="AU480" s="29"/>
      <c r="AV480" s="29"/>
      <c r="AW480" s="29"/>
      <c r="AX480" s="29"/>
      <c r="AY480" s="29"/>
      <c r="AZ480" s="29"/>
      <c r="BA480" s="29"/>
      <c r="BB480" s="29"/>
      <c r="BC480" s="29"/>
      <c r="BD480" s="29"/>
      <c r="BE480" s="29"/>
      <c r="BF480" s="29"/>
      <c r="BG480" s="29"/>
      <c r="BH480" s="29"/>
    </row>
    <row r="481" spans="1:60" ht="14.25" customHeight="1" x14ac:dyDescent="0.3">
      <c r="A481" s="28"/>
      <c r="B481" s="29"/>
      <c r="C481" s="30"/>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c r="AT481" s="29"/>
      <c r="AU481" s="29"/>
      <c r="AV481" s="29"/>
      <c r="AW481" s="29"/>
      <c r="AX481" s="29"/>
      <c r="AY481" s="29"/>
      <c r="AZ481" s="29"/>
      <c r="BA481" s="29"/>
      <c r="BB481" s="29"/>
      <c r="BC481" s="29"/>
      <c r="BD481" s="29"/>
      <c r="BE481" s="29"/>
      <c r="BF481" s="29"/>
      <c r="BG481" s="29"/>
      <c r="BH481" s="29"/>
    </row>
    <row r="482" spans="1:60" ht="14.25" customHeight="1" x14ac:dyDescent="0.3">
      <c r="A482" s="28"/>
      <c r="B482" s="29"/>
      <c r="C482" s="30"/>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29"/>
      <c r="AI482" s="29"/>
      <c r="AJ482" s="29"/>
      <c r="AK482" s="29"/>
      <c r="AL482" s="29"/>
      <c r="AM482" s="29"/>
      <c r="AN482" s="29"/>
      <c r="AO482" s="29"/>
      <c r="AP482" s="29"/>
      <c r="AQ482" s="29"/>
      <c r="AR482" s="29"/>
      <c r="AS482" s="29"/>
      <c r="AT482" s="29"/>
      <c r="AU482" s="29"/>
      <c r="AV482" s="29"/>
      <c r="AW482" s="29"/>
      <c r="AX482" s="29"/>
      <c r="AY482" s="29"/>
      <c r="AZ482" s="29"/>
      <c r="BA482" s="29"/>
      <c r="BB482" s="29"/>
      <c r="BC482" s="29"/>
      <c r="BD482" s="29"/>
      <c r="BE482" s="29"/>
      <c r="BF482" s="29"/>
      <c r="BG482" s="29"/>
      <c r="BH482" s="29"/>
    </row>
    <row r="483" spans="1:60" ht="14.25" customHeight="1" x14ac:dyDescent="0.3">
      <c r="A483" s="28"/>
      <c r="B483" s="29"/>
      <c r="C483" s="30"/>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c r="AO483" s="29"/>
      <c r="AP483" s="29"/>
      <c r="AQ483" s="29"/>
      <c r="AR483" s="29"/>
      <c r="AS483" s="29"/>
      <c r="AT483" s="29"/>
      <c r="AU483" s="29"/>
      <c r="AV483" s="29"/>
      <c r="AW483" s="29"/>
      <c r="AX483" s="29"/>
      <c r="AY483" s="29"/>
      <c r="AZ483" s="29"/>
      <c r="BA483" s="29"/>
      <c r="BB483" s="29"/>
      <c r="BC483" s="29"/>
      <c r="BD483" s="29"/>
      <c r="BE483" s="29"/>
      <c r="BF483" s="29"/>
      <c r="BG483" s="29"/>
      <c r="BH483" s="29"/>
    </row>
    <row r="484" spans="1:60" ht="14.25" customHeight="1" x14ac:dyDescent="0.3">
      <c r="A484" s="28"/>
      <c r="B484" s="29"/>
      <c r="C484" s="30"/>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29"/>
      <c r="AI484" s="29"/>
      <c r="AJ484" s="29"/>
      <c r="AK484" s="29"/>
      <c r="AL484" s="29"/>
      <c r="AM484" s="29"/>
      <c r="AN484" s="29"/>
      <c r="AO484" s="29"/>
      <c r="AP484" s="29"/>
      <c r="AQ484" s="29"/>
      <c r="AR484" s="29"/>
      <c r="AS484" s="29"/>
      <c r="AT484" s="29"/>
      <c r="AU484" s="29"/>
      <c r="AV484" s="29"/>
      <c r="AW484" s="29"/>
      <c r="AX484" s="29"/>
      <c r="AY484" s="29"/>
      <c r="AZ484" s="29"/>
      <c r="BA484" s="29"/>
      <c r="BB484" s="29"/>
      <c r="BC484" s="29"/>
      <c r="BD484" s="29"/>
      <c r="BE484" s="29"/>
      <c r="BF484" s="29"/>
      <c r="BG484" s="29"/>
      <c r="BH484" s="29"/>
    </row>
    <row r="485" spans="1:60" ht="14.25" customHeight="1" x14ac:dyDescent="0.3">
      <c r="A485" s="28"/>
      <c r="B485" s="29"/>
      <c r="C485" s="30"/>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c r="AO485" s="29"/>
      <c r="AP485" s="29"/>
      <c r="AQ485" s="29"/>
      <c r="AR485" s="29"/>
      <c r="AS485" s="29"/>
      <c r="AT485" s="29"/>
      <c r="AU485" s="29"/>
      <c r="AV485" s="29"/>
      <c r="AW485" s="29"/>
      <c r="AX485" s="29"/>
      <c r="AY485" s="29"/>
      <c r="AZ485" s="29"/>
      <c r="BA485" s="29"/>
      <c r="BB485" s="29"/>
      <c r="BC485" s="29"/>
      <c r="BD485" s="29"/>
      <c r="BE485" s="29"/>
      <c r="BF485" s="29"/>
      <c r="BG485" s="29"/>
      <c r="BH485" s="29"/>
    </row>
    <row r="486" spans="1:60" ht="14.25" customHeight="1" x14ac:dyDescent="0.3">
      <c r="A486" s="28"/>
      <c r="B486" s="29"/>
      <c r="C486" s="30"/>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J486" s="29"/>
      <c r="AK486" s="29"/>
      <c r="AL486" s="29"/>
      <c r="AM486" s="29"/>
      <c r="AN486" s="29"/>
      <c r="AO486" s="29"/>
      <c r="AP486" s="29"/>
      <c r="AQ486" s="29"/>
      <c r="AR486" s="29"/>
      <c r="AS486" s="29"/>
      <c r="AT486" s="29"/>
      <c r="AU486" s="29"/>
      <c r="AV486" s="29"/>
      <c r="AW486" s="29"/>
      <c r="AX486" s="29"/>
      <c r="AY486" s="29"/>
      <c r="AZ486" s="29"/>
      <c r="BA486" s="29"/>
      <c r="BB486" s="29"/>
      <c r="BC486" s="29"/>
      <c r="BD486" s="29"/>
      <c r="BE486" s="29"/>
      <c r="BF486" s="29"/>
      <c r="BG486" s="29"/>
      <c r="BH486" s="29"/>
    </row>
    <row r="487" spans="1:60" ht="14.25" customHeight="1" x14ac:dyDescent="0.3">
      <c r="A487" s="28"/>
      <c r="B487" s="29"/>
      <c r="C487" s="30"/>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c r="AO487" s="29"/>
      <c r="AP487" s="29"/>
      <c r="AQ487" s="29"/>
      <c r="AR487" s="29"/>
      <c r="AS487" s="29"/>
      <c r="AT487" s="29"/>
      <c r="AU487" s="29"/>
      <c r="AV487" s="29"/>
      <c r="AW487" s="29"/>
      <c r="AX487" s="29"/>
      <c r="AY487" s="29"/>
      <c r="AZ487" s="29"/>
      <c r="BA487" s="29"/>
      <c r="BB487" s="29"/>
      <c r="BC487" s="29"/>
      <c r="BD487" s="29"/>
      <c r="BE487" s="29"/>
      <c r="BF487" s="29"/>
      <c r="BG487" s="29"/>
      <c r="BH487" s="29"/>
    </row>
    <row r="488" spans="1:60" ht="14.25" customHeight="1" x14ac:dyDescent="0.3">
      <c r="A488" s="28"/>
      <c r="B488" s="29"/>
      <c r="C488" s="30"/>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29"/>
      <c r="AJ488" s="29"/>
      <c r="AK488" s="29"/>
      <c r="AL488" s="29"/>
      <c r="AM488" s="29"/>
      <c r="AN488" s="29"/>
      <c r="AO488" s="29"/>
      <c r="AP488" s="29"/>
      <c r="AQ488" s="29"/>
      <c r="AR488" s="29"/>
      <c r="AS488" s="29"/>
      <c r="AT488" s="29"/>
      <c r="AU488" s="29"/>
      <c r="AV488" s="29"/>
      <c r="AW488" s="29"/>
      <c r="AX488" s="29"/>
      <c r="AY488" s="29"/>
      <c r="AZ488" s="29"/>
      <c r="BA488" s="29"/>
      <c r="BB488" s="29"/>
      <c r="BC488" s="29"/>
      <c r="BD488" s="29"/>
      <c r="BE488" s="29"/>
      <c r="BF488" s="29"/>
      <c r="BG488" s="29"/>
      <c r="BH488" s="29"/>
    </row>
    <row r="489" spans="1:60" ht="14.25" customHeight="1" x14ac:dyDescent="0.3">
      <c r="A489" s="28"/>
      <c r="B489" s="29"/>
      <c r="C489" s="30"/>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c r="AT489" s="29"/>
      <c r="AU489" s="29"/>
      <c r="AV489" s="29"/>
      <c r="AW489" s="29"/>
      <c r="AX489" s="29"/>
      <c r="AY489" s="29"/>
      <c r="AZ489" s="29"/>
      <c r="BA489" s="29"/>
      <c r="BB489" s="29"/>
      <c r="BC489" s="29"/>
      <c r="BD489" s="29"/>
      <c r="BE489" s="29"/>
      <c r="BF489" s="29"/>
      <c r="BG489" s="29"/>
      <c r="BH489" s="29"/>
    </row>
    <row r="490" spans="1:60" ht="14.25" customHeight="1" x14ac:dyDescent="0.3">
      <c r="A490" s="28"/>
      <c r="B490" s="29"/>
      <c r="C490" s="30"/>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J490" s="29"/>
      <c r="AK490" s="29"/>
      <c r="AL490" s="29"/>
      <c r="AM490" s="29"/>
      <c r="AN490" s="29"/>
      <c r="AO490" s="29"/>
      <c r="AP490" s="29"/>
      <c r="AQ490" s="29"/>
      <c r="AR490" s="29"/>
      <c r="AS490" s="29"/>
      <c r="AT490" s="29"/>
      <c r="AU490" s="29"/>
      <c r="AV490" s="29"/>
      <c r="AW490" s="29"/>
      <c r="AX490" s="29"/>
      <c r="AY490" s="29"/>
      <c r="AZ490" s="29"/>
      <c r="BA490" s="29"/>
      <c r="BB490" s="29"/>
      <c r="BC490" s="29"/>
      <c r="BD490" s="29"/>
      <c r="BE490" s="29"/>
      <c r="BF490" s="29"/>
      <c r="BG490" s="29"/>
      <c r="BH490" s="29"/>
    </row>
    <row r="491" spans="1:60" ht="14.25" customHeight="1" x14ac:dyDescent="0.3">
      <c r="A491" s="28"/>
      <c r="B491" s="29"/>
      <c r="C491" s="30"/>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c r="AO491" s="29"/>
      <c r="AP491" s="29"/>
      <c r="AQ491" s="29"/>
      <c r="AR491" s="29"/>
      <c r="AS491" s="29"/>
      <c r="AT491" s="29"/>
      <c r="AU491" s="29"/>
      <c r="AV491" s="29"/>
      <c r="AW491" s="29"/>
      <c r="AX491" s="29"/>
      <c r="AY491" s="29"/>
      <c r="AZ491" s="29"/>
      <c r="BA491" s="29"/>
      <c r="BB491" s="29"/>
      <c r="BC491" s="29"/>
      <c r="BD491" s="29"/>
      <c r="BE491" s="29"/>
      <c r="BF491" s="29"/>
      <c r="BG491" s="29"/>
      <c r="BH491" s="29"/>
    </row>
    <row r="492" spans="1:60" ht="14.25" customHeight="1" x14ac:dyDescent="0.3">
      <c r="A492" s="28"/>
      <c r="B492" s="29"/>
      <c r="C492" s="30"/>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J492" s="29"/>
      <c r="AK492" s="29"/>
      <c r="AL492" s="29"/>
      <c r="AM492" s="29"/>
      <c r="AN492" s="29"/>
      <c r="AO492" s="29"/>
      <c r="AP492" s="29"/>
      <c r="AQ492" s="29"/>
      <c r="AR492" s="29"/>
      <c r="AS492" s="29"/>
      <c r="AT492" s="29"/>
      <c r="AU492" s="29"/>
      <c r="AV492" s="29"/>
      <c r="AW492" s="29"/>
      <c r="AX492" s="29"/>
      <c r="AY492" s="29"/>
      <c r="AZ492" s="29"/>
      <c r="BA492" s="29"/>
      <c r="BB492" s="29"/>
      <c r="BC492" s="29"/>
      <c r="BD492" s="29"/>
      <c r="BE492" s="29"/>
      <c r="BF492" s="29"/>
      <c r="BG492" s="29"/>
      <c r="BH492" s="29"/>
    </row>
    <row r="493" spans="1:60" ht="14.25" customHeight="1" x14ac:dyDescent="0.3">
      <c r="A493" s="28"/>
      <c r="B493" s="29"/>
      <c r="C493" s="30"/>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c r="AT493" s="29"/>
      <c r="AU493" s="29"/>
      <c r="AV493" s="29"/>
      <c r="AW493" s="29"/>
      <c r="AX493" s="29"/>
      <c r="AY493" s="29"/>
      <c r="AZ493" s="29"/>
      <c r="BA493" s="29"/>
      <c r="BB493" s="29"/>
      <c r="BC493" s="29"/>
      <c r="BD493" s="29"/>
      <c r="BE493" s="29"/>
      <c r="BF493" s="29"/>
      <c r="BG493" s="29"/>
      <c r="BH493" s="29"/>
    </row>
    <row r="494" spans="1:60" ht="14.25" customHeight="1" x14ac:dyDescent="0.3">
      <c r="A494" s="28"/>
      <c r="B494" s="29"/>
      <c r="C494" s="30"/>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J494" s="29"/>
      <c r="AK494" s="29"/>
      <c r="AL494" s="29"/>
      <c r="AM494" s="29"/>
      <c r="AN494" s="29"/>
      <c r="AO494" s="29"/>
      <c r="AP494" s="29"/>
      <c r="AQ494" s="29"/>
      <c r="AR494" s="29"/>
      <c r="AS494" s="29"/>
      <c r="AT494" s="29"/>
      <c r="AU494" s="29"/>
      <c r="AV494" s="29"/>
      <c r="AW494" s="29"/>
      <c r="AX494" s="29"/>
      <c r="AY494" s="29"/>
      <c r="AZ494" s="29"/>
      <c r="BA494" s="29"/>
      <c r="BB494" s="29"/>
      <c r="BC494" s="29"/>
      <c r="BD494" s="29"/>
      <c r="BE494" s="29"/>
      <c r="BF494" s="29"/>
      <c r="BG494" s="29"/>
      <c r="BH494" s="29"/>
    </row>
    <row r="495" spans="1:60" ht="14.25" customHeight="1" x14ac:dyDescent="0.3">
      <c r="A495" s="28"/>
      <c r="B495" s="29"/>
      <c r="C495" s="30"/>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c r="AT495" s="29"/>
      <c r="AU495" s="29"/>
      <c r="AV495" s="29"/>
      <c r="AW495" s="29"/>
      <c r="AX495" s="29"/>
      <c r="AY495" s="29"/>
      <c r="AZ495" s="29"/>
      <c r="BA495" s="29"/>
      <c r="BB495" s="29"/>
      <c r="BC495" s="29"/>
      <c r="BD495" s="29"/>
      <c r="BE495" s="29"/>
      <c r="BF495" s="29"/>
      <c r="BG495" s="29"/>
      <c r="BH495" s="29"/>
    </row>
    <row r="496" spans="1:60" ht="14.25" customHeight="1" x14ac:dyDescent="0.3">
      <c r="A496" s="28"/>
      <c r="B496" s="29"/>
      <c r="C496" s="30"/>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J496" s="29"/>
      <c r="AK496" s="29"/>
      <c r="AL496" s="29"/>
      <c r="AM496" s="29"/>
      <c r="AN496" s="29"/>
      <c r="AO496" s="29"/>
      <c r="AP496" s="29"/>
      <c r="AQ496" s="29"/>
      <c r="AR496" s="29"/>
      <c r="AS496" s="29"/>
      <c r="AT496" s="29"/>
      <c r="AU496" s="29"/>
      <c r="AV496" s="29"/>
      <c r="AW496" s="29"/>
      <c r="AX496" s="29"/>
      <c r="AY496" s="29"/>
      <c r="AZ496" s="29"/>
      <c r="BA496" s="29"/>
      <c r="BB496" s="29"/>
      <c r="BC496" s="29"/>
      <c r="BD496" s="29"/>
      <c r="BE496" s="29"/>
      <c r="BF496" s="29"/>
      <c r="BG496" s="29"/>
      <c r="BH496" s="29"/>
    </row>
    <row r="497" spans="1:60" ht="14.25" customHeight="1" x14ac:dyDescent="0.3">
      <c r="A497" s="28"/>
      <c r="B497" s="29"/>
      <c r="C497" s="30"/>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c r="AO497" s="29"/>
      <c r="AP497" s="29"/>
      <c r="AQ497" s="29"/>
      <c r="AR497" s="29"/>
      <c r="AS497" s="29"/>
      <c r="AT497" s="29"/>
      <c r="AU497" s="29"/>
      <c r="AV497" s="29"/>
      <c r="AW497" s="29"/>
      <c r="AX497" s="29"/>
      <c r="AY497" s="29"/>
      <c r="AZ497" s="29"/>
      <c r="BA497" s="29"/>
      <c r="BB497" s="29"/>
      <c r="BC497" s="29"/>
      <c r="BD497" s="29"/>
      <c r="BE497" s="29"/>
      <c r="BF497" s="29"/>
      <c r="BG497" s="29"/>
      <c r="BH497" s="29"/>
    </row>
    <row r="498" spans="1:60" ht="14.25" customHeight="1" x14ac:dyDescent="0.3">
      <c r="A498" s="28"/>
      <c r="B498" s="29"/>
      <c r="C498" s="30"/>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29"/>
      <c r="AI498" s="29"/>
      <c r="AJ498" s="29"/>
      <c r="AK498" s="29"/>
      <c r="AL498" s="29"/>
      <c r="AM498" s="29"/>
      <c r="AN498" s="29"/>
      <c r="AO498" s="29"/>
      <c r="AP498" s="29"/>
      <c r="AQ498" s="29"/>
      <c r="AR498" s="29"/>
      <c r="AS498" s="29"/>
      <c r="AT498" s="29"/>
      <c r="AU498" s="29"/>
      <c r="AV498" s="29"/>
      <c r="AW498" s="29"/>
      <c r="AX498" s="29"/>
      <c r="AY498" s="29"/>
      <c r="AZ498" s="29"/>
      <c r="BA498" s="29"/>
      <c r="BB498" s="29"/>
      <c r="BC498" s="29"/>
      <c r="BD498" s="29"/>
      <c r="BE498" s="29"/>
      <c r="BF498" s="29"/>
      <c r="BG498" s="29"/>
      <c r="BH498" s="29"/>
    </row>
    <row r="499" spans="1:60" ht="14.25" customHeight="1" x14ac:dyDescent="0.3">
      <c r="A499" s="28"/>
      <c r="B499" s="29"/>
      <c r="C499" s="30"/>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c r="AN499" s="29"/>
      <c r="AO499" s="29"/>
      <c r="AP499" s="29"/>
      <c r="AQ499" s="29"/>
      <c r="AR499" s="29"/>
      <c r="AS499" s="29"/>
      <c r="AT499" s="29"/>
      <c r="AU499" s="29"/>
      <c r="AV499" s="29"/>
      <c r="AW499" s="29"/>
      <c r="AX499" s="29"/>
      <c r="AY499" s="29"/>
      <c r="AZ499" s="29"/>
      <c r="BA499" s="29"/>
      <c r="BB499" s="29"/>
      <c r="BC499" s="29"/>
      <c r="BD499" s="29"/>
      <c r="BE499" s="29"/>
      <c r="BF499" s="29"/>
      <c r="BG499" s="29"/>
      <c r="BH499" s="29"/>
    </row>
    <row r="500" spans="1:60" ht="14.25" customHeight="1" x14ac:dyDescent="0.3">
      <c r="A500" s="28"/>
      <c r="B500" s="29"/>
      <c r="C500" s="30"/>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c r="AF500" s="29"/>
      <c r="AG500" s="29"/>
      <c r="AH500" s="29"/>
      <c r="AI500" s="29"/>
      <c r="AJ500" s="29"/>
      <c r="AK500" s="29"/>
      <c r="AL500" s="29"/>
      <c r="AM500" s="29"/>
      <c r="AN500" s="29"/>
      <c r="AO500" s="29"/>
      <c r="AP500" s="29"/>
      <c r="AQ500" s="29"/>
      <c r="AR500" s="29"/>
      <c r="AS500" s="29"/>
      <c r="AT500" s="29"/>
      <c r="AU500" s="29"/>
      <c r="AV500" s="29"/>
      <c r="AW500" s="29"/>
      <c r="AX500" s="29"/>
      <c r="AY500" s="29"/>
      <c r="AZ500" s="29"/>
      <c r="BA500" s="29"/>
      <c r="BB500" s="29"/>
      <c r="BC500" s="29"/>
      <c r="BD500" s="29"/>
      <c r="BE500" s="29"/>
      <c r="BF500" s="29"/>
      <c r="BG500" s="29"/>
      <c r="BH500" s="29"/>
    </row>
    <row r="501" spans="1:60" ht="14.25" customHeight="1" x14ac:dyDescent="0.3">
      <c r="A501" s="28"/>
      <c r="B501" s="29"/>
      <c r="C501" s="30"/>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c r="AN501" s="29"/>
      <c r="AO501" s="29"/>
      <c r="AP501" s="29"/>
      <c r="AQ501" s="29"/>
      <c r="AR501" s="29"/>
      <c r="AS501" s="29"/>
      <c r="AT501" s="29"/>
      <c r="AU501" s="29"/>
      <c r="AV501" s="29"/>
      <c r="AW501" s="29"/>
      <c r="AX501" s="29"/>
      <c r="AY501" s="29"/>
      <c r="AZ501" s="29"/>
      <c r="BA501" s="29"/>
      <c r="BB501" s="29"/>
      <c r="BC501" s="29"/>
      <c r="BD501" s="29"/>
      <c r="BE501" s="29"/>
      <c r="BF501" s="29"/>
      <c r="BG501" s="29"/>
      <c r="BH501" s="29"/>
    </row>
    <row r="502" spans="1:60" ht="14.25" customHeight="1" x14ac:dyDescent="0.3">
      <c r="A502" s="28"/>
      <c r="B502" s="29"/>
      <c r="C502" s="30"/>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c r="AN502" s="29"/>
      <c r="AO502" s="29"/>
      <c r="AP502" s="29"/>
      <c r="AQ502" s="29"/>
      <c r="AR502" s="29"/>
      <c r="AS502" s="29"/>
      <c r="AT502" s="29"/>
      <c r="AU502" s="29"/>
      <c r="AV502" s="29"/>
      <c r="AW502" s="29"/>
      <c r="AX502" s="29"/>
      <c r="AY502" s="29"/>
      <c r="AZ502" s="29"/>
      <c r="BA502" s="29"/>
      <c r="BB502" s="29"/>
      <c r="BC502" s="29"/>
      <c r="BD502" s="29"/>
      <c r="BE502" s="29"/>
      <c r="BF502" s="29"/>
      <c r="BG502" s="29"/>
      <c r="BH502" s="29"/>
    </row>
    <row r="503" spans="1:60" ht="14.25" customHeight="1" x14ac:dyDescent="0.3">
      <c r="A503" s="28"/>
      <c r="B503" s="29"/>
      <c r="C503" s="30"/>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c r="AT503" s="29"/>
      <c r="AU503" s="29"/>
      <c r="AV503" s="29"/>
      <c r="AW503" s="29"/>
      <c r="AX503" s="29"/>
      <c r="AY503" s="29"/>
      <c r="AZ503" s="29"/>
      <c r="BA503" s="29"/>
      <c r="BB503" s="29"/>
      <c r="BC503" s="29"/>
      <c r="BD503" s="29"/>
      <c r="BE503" s="29"/>
      <c r="BF503" s="29"/>
      <c r="BG503" s="29"/>
      <c r="BH503" s="29"/>
    </row>
    <row r="504" spans="1:60" ht="14.25" customHeight="1" x14ac:dyDescent="0.3">
      <c r="A504" s="28"/>
      <c r="B504" s="29"/>
      <c r="C504" s="30"/>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29"/>
      <c r="AI504" s="29"/>
      <c r="AJ504" s="29"/>
      <c r="AK504" s="29"/>
      <c r="AL504" s="29"/>
      <c r="AM504" s="29"/>
      <c r="AN504" s="29"/>
      <c r="AO504" s="29"/>
      <c r="AP504" s="29"/>
      <c r="AQ504" s="29"/>
      <c r="AR504" s="29"/>
      <c r="AS504" s="29"/>
      <c r="AT504" s="29"/>
      <c r="AU504" s="29"/>
      <c r="AV504" s="29"/>
      <c r="AW504" s="29"/>
      <c r="AX504" s="29"/>
      <c r="AY504" s="29"/>
      <c r="AZ504" s="29"/>
      <c r="BA504" s="29"/>
      <c r="BB504" s="29"/>
      <c r="BC504" s="29"/>
      <c r="BD504" s="29"/>
      <c r="BE504" s="29"/>
      <c r="BF504" s="29"/>
      <c r="BG504" s="29"/>
      <c r="BH504" s="29"/>
    </row>
    <row r="505" spans="1:60" ht="14.25" customHeight="1" x14ac:dyDescent="0.3">
      <c r="A505" s="28"/>
      <c r="B505" s="29"/>
      <c r="C505" s="30"/>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c r="AN505" s="29"/>
      <c r="AO505" s="29"/>
      <c r="AP505" s="29"/>
      <c r="AQ505" s="29"/>
      <c r="AR505" s="29"/>
      <c r="AS505" s="29"/>
      <c r="AT505" s="29"/>
      <c r="AU505" s="29"/>
      <c r="AV505" s="29"/>
      <c r="AW505" s="29"/>
      <c r="AX505" s="29"/>
      <c r="AY505" s="29"/>
      <c r="AZ505" s="29"/>
      <c r="BA505" s="29"/>
      <c r="BB505" s="29"/>
      <c r="BC505" s="29"/>
      <c r="BD505" s="29"/>
      <c r="BE505" s="29"/>
      <c r="BF505" s="29"/>
      <c r="BG505" s="29"/>
      <c r="BH505" s="29"/>
    </row>
    <row r="506" spans="1:60" ht="14.25" customHeight="1" x14ac:dyDescent="0.3">
      <c r="A506" s="28"/>
      <c r="B506" s="29"/>
      <c r="C506" s="30"/>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J506" s="29"/>
      <c r="AK506" s="29"/>
      <c r="AL506" s="29"/>
      <c r="AM506" s="29"/>
      <c r="AN506" s="29"/>
      <c r="AO506" s="29"/>
      <c r="AP506" s="29"/>
      <c r="AQ506" s="29"/>
      <c r="AR506" s="29"/>
      <c r="AS506" s="29"/>
      <c r="AT506" s="29"/>
      <c r="AU506" s="29"/>
      <c r="AV506" s="29"/>
      <c r="AW506" s="29"/>
      <c r="AX506" s="29"/>
      <c r="AY506" s="29"/>
      <c r="AZ506" s="29"/>
      <c r="BA506" s="29"/>
      <c r="BB506" s="29"/>
      <c r="BC506" s="29"/>
      <c r="BD506" s="29"/>
      <c r="BE506" s="29"/>
      <c r="BF506" s="29"/>
      <c r="BG506" s="29"/>
      <c r="BH506" s="29"/>
    </row>
    <row r="507" spans="1:60" ht="14.25" customHeight="1" x14ac:dyDescent="0.3">
      <c r="A507" s="28"/>
      <c r="B507" s="29"/>
      <c r="C507" s="30"/>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29"/>
      <c r="AT507" s="29"/>
      <c r="AU507" s="29"/>
      <c r="AV507" s="29"/>
      <c r="AW507" s="29"/>
      <c r="AX507" s="29"/>
      <c r="AY507" s="29"/>
      <c r="AZ507" s="29"/>
      <c r="BA507" s="29"/>
      <c r="BB507" s="29"/>
      <c r="BC507" s="29"/>
      <c r="BD507" s="29"/>
      <c r="BE507" s="29"/>
      <c r="BF507" s="29"/>
      <c r="BG507" s="29"/>
      <c r="BH507" s="29"/>
    </row>
    <row r="508" spans="1:60" ht="14.25" customHeight="1" x14ac:dyDescent="0.3">
      <c r="A508" s="28"/>
      <c r="B508" s="29"/>
      <c r="C508" s="30"/>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29"/>
      <c r="AI508" s="29"/>
      <c r="AJ508" s="29"/>
      <c r="AK508" s="29"/>
      <c r="AL508" s="29"/>
      <c r="AM508" s="29"/>
      <c r="AN508" s="29"/>
      <c r="AO508" s="29"/>
      <c r="AP508" s="29"/>
      <c r="AQ508" s="29"/>
      <c r="AR508" s="29"/>
      <c r="AS508" s="29"/>
      <c r="AT508" s="29"/>
      <c r="AU508" s="29"/>
      <c r="AV508" s="29"/>
      <c r="AW508" s="29"/>
      <c r="AX508" s="29"/>
      <c r="AY508" s="29"/>
      <c r="AZ508" s="29"/>
      <c r="BA508" s="29"/>
      <c r="BB508" s="29"/>
      <c r="BC508" s="29"/>
      <c r="BD508" s="29"/>
      <c r="BE508" s="29"/>
      <c r="BF508" s="29"/>
      <c r="BG508" s="29"/>
      <c r="BH508" s="29"/>
    </row>
    <row r="509" spans="1:60" ht="14.25" customHeight="1" x14ac:dyDescent="0.3">
      <c r="A509" s="28"/>
      <c r="B509" s="29"/>
      <c r="C509" s="30"/>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c r="AO509" s="29"/>
      <c r="AP509" s="29"/>
      <c r="AQ509" s="29"/>
      <c r="AR509" s="29"/>
      <c r="AS509" s="29"/>
      <c r="AT509" s="29"/>
      <c r="AU509" s="29"/>
      <c r="AV509" s="29"/>
      <c r="AW509" s="29"/>
      <c r="AX509" s="29"/>
      <c r="AY509" s="29"/>
      <c r="AZ509" s="29"/>
      <c r="BA509" s="29"/>
      <c r="BB509" s="29"/>
      <c r="BC509" s="29"/>
      <c r="BD509" s="29"/>
      <c r="BE509" s="29"/>
      <c r="BF509" s="29"/>
      <c r="BG509" s="29"/>
      <c r="BH509" s="29"/>
    </row>
    <row r="510" spans="1:60" ht="14.25" customHeight="1" x14ac:dyDescent="0.3">
      <c r="A510" s="28"/>
      <c r="B510" s="29"/>
      <c r="C510" s="30"/>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c r="AJ510" s="29"/>
      <c r="AK510" s="29"/>
      <c r="AL510" s="29"/>
      <c r="AM510" s="29"/>
      <c r="AN510" s="29"/>
      <c r="AO510" s="29"/>
      <c r="AP510" s="29"/>
      <c r="AQ510" s="29"/>
      <c r="AR510" s="29"/>
      <c r="AS510" s="29"/>
      <c r="AT510" s="29"/>
      <c r="AU510" s="29"/>
      <c r="AV510" s="29"/>
      <c r="AW510" s="29"/>
      <c r="AX510" s="29"/>
      <c r="AY510" s="29"/>
      <c r="AZ510" s="29"/>
      <c r="BA510" s="29"/>
      <c r="BB510" s="29"/>
      <c r="BC510" s="29"/>
      <c r="BD510" s="29"/>
      <c r="BE510" s="29"/>
      <c r="BF510" s="29"/>
      <c r="BG510" s="29"/>
      <c r="BH510" s="29"/>
    </row>
    <row r="511" spans="1:60" ht="14.25" customHeight="1" x14ac:dyDescent="0.3">
      <c r="A511" s="28"/>
      <c r="B511" s="29"/>
      <c r="C511" s="30"/>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c r="AO511" s="29"/>
      <c r="AP511" s="29"/>
      <c r="AQ511" s="29"/>
      <c r="AR511" s="29"/>
      <c r="AS511" s="29"/>
      <c r="AT511" s="29"/>
      <c r="AU511" s="29"/>
      <c r="AV511" s="29"/>
      <c r="AW511" s="29"/>
      <c r="AX511" s="29"/>
      <c r="AY511" s="29"/>
      <c r="AZ511" s="29"/>
      <c r="BA511" s="29"/>
      <c r="BB511" s="29"/>
      <c r="BC511" s="29"/>
      <c r="BD511" s="29"/>
      <c r="BE511" s="29"/>
      <c r="BF511" s="29"/>
      <c r="BG511" s="29"/>
      <c r="BH511" s="29"/>
    </row>
    <row r="512" spans="1:60" ht="14.25" customHeight="1" x14ac:dyDescent="0.3">
      <c r="A512" s="28"/>
      <c r="B512" s="29"/>
      <c r="C512" s="30"/>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c r="AJ512" s="29"/>
      <c r="AK512" s="29"/>
      <c r="AL512" s="29"/>
      <c r="AM512" s="29"/>
      <c r="AN512" s="29"/>
      <c r="AO512" s="29"/>
      <c r="AP512" s="29"/>
      <c r="AQ512" s="29"/>
      <c r="AR512" s="29"/>
      <c r="AS512" s="29"/>
      <c r="AT512" s="29"/>
      <c r="AU512" s="29"/>
      <c r="AV512" s="29"/>
      <c r="AW512" s="29"/>
      <c r="AX512" s="29"/>
      <c r="AY512" s="29"/>
      <c r="AZ512" s="29"/>
      <c r="BA512" s="29"/>
      <c r="BB512" s="29"/>
      <c r="BC512" s="29"/>
      <c r="BD512" s="29"/>
      <c r="BE512" s="29"/>
      <c r="BF512" s="29"/>
      <c r="BG512" s="29"/>
      <c r="BH512" s="29"/>
    </row>
    <row r="513" spans="1:60" ht="14.25" customHeight="1" x14ac:dyDescent="0.3">
      <c r="A513" s="28"/>
      <c r="B513" s="29"/>
      <c r="C513" s="30"/>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c r="AT513" s="29"/>
      <c r="AU513" s="29"/>
      <c r="AV513" s="29"/>
      <c r="AW513" s="29"/>
      <c r="AX513" s="29"/>
      <c r="AY513" s="29"/>
      <c r="AZ513" s="29"/>
      <c r="BA513" s="29"/>
      <c r="BB513" s="29"/>
      <c r="BC513" s="29"/>
      <c r="BD513" s="29"/>
      <c r="BE513" s="29"/>
      <c r="BF513" s="29"/>
      <c r="BG513" s="29"/>
      <c r="BH513" s="29"/>
    </row>
    <row r="514" spans="1:60" ht="14.25" customHeight="1" x14ac:dyDescent="0.3">
      <c r="A514" s="28"/>
      <c r="B514" s="29"/>
      <c r="C514" s="30"/>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c r="AJ514" s="29"/>
      <c r="AK514" s="29"/>
      <c r="AL514" s="29"/>
      <c r="AM514" s="29"/>
      <c r="AN514" s="29"/>
      <c r="AO514" s="29"/>
      <c r="AP514" s="29"/>
      <c r="AQ514" s="29"/>
      <c r="AR514" s="29"/>
      <c r="AS514" s="29"/>
      <c r="AT514" s="29"/>
      <c r="AU514" s="29"/>
      <c r="AV514" s="29"/>
      <c r="AW514" s="29"/>
      <c r="AX514" s="29"/>
      <c r="AY514" s="29"/>
      <c r="AZ514" s="29"/>
      <c r="BA514" s="29"/>
      <c r="BB514" s="29"/>
      <c r="BC514" s="29"/>
      <c r="BD514" s="29"/>
      <c r="BE514" s="29"/>
      <c r="BF514" s="29"/>
      <c r="BG514" s="29"/>
      <c r="BH514" s="29"/>
    </row>
    <row r="515" spans="1:60" ht="14.25" customHeight="1" x14ac:dyDescent="0.3">
      <c r="A515" s="28"/>
      <c r="B515" s="29"/>
      <c r="C515" s="30"/>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c r="AN515" s="29"/>
      <c r="AO515" s="29"/>
      <c r="AP515" s="29"/>
      <c r="AQ515" s="29"/>
      <c r="AR515" s="29"/>
      <c r="AS515" s="29"/>
      <c r="AT515" s="29"/>
      <c r="AU515" s="29"/>
      <c r="AV515" s="29"/>
      <c r="AW515" s="29"/>
      <c r="AX515" s="29"/>
      <c r="AY515" s="29"/>
      <c r="AZ515" s="29"/>
      <c r="BA515" s="29"/>
      <c r="BB515" s="29"/>
      <c r="BC515" s="29"/>
      <c r="BD515" s="29"/>
      <c r="BE515" s="29"/>
      <c r="BF515" s="29"/>
      <c r="BG515" s="29"/>
      <c r="BH515" s="29"/>
    </row>
    <row r="516" spans="1:60" ht="14.25" customHeight="1" x14ac:dyDescent="0.3">
      <c r="A516" s="28"/>
      <c r="B516" s="29"/>
      <c r="C516" s="30"/>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29"/>
      <c r="AI516" s="29"/>
      <c r="AJ516" s="29"/>
      <c r="AK516" s="29"/>
      <c r="AL516" s="29"/>
      <c r="AM516" s="29"/>
      <c r="AN516" s="29"/>
      <c r="AO516" s="29"/>
      <c r="AP516" s="29"/>
      <c r="AQ516" s="29"/>
      <c r="AR516" s="29"/>
      <c r="AS516" s="29"/>
      <c r="AT516" s="29"/>
      <c r="AU516" s="29"/>
      <c r="AV516" s="29"/>
      <c r="AW516" s="29"/>
      <c r="AX516" s="29"/>
      <c r="AY516" s="29"/>
      <c r="AZ516" s="29"/>
      <c r="BA516" s="29"/>
      <c r="BB516" s="29"/>
      <c r="BC516" s="29"/>
      <c r="BD516" s="29"/>
      <c r="BE516" s="29"/>
      <c r="BF516" s="29"/>
      <c r="BG516" s="29"/>
      <c r="BH516" s="29"/>
    </row>
    <row r="517" spans="1:60" ht="14.25" customHeight="1" x14ac:dyDescent="0.3">
      <c r="A517" s="28"/>
      <c r="B517" s="29"/>
      <c r="C517" s="30"/>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c r="AO517" s="29"/>
      <c r="AP517" s="29"/>
      <c r="AQ517" s="29"/>
      <c r="AR517" s="29"/>
      <c r="AS517" s="29"/>
      <c r="AT517" s="29"/>
      <c r="AU517" s="29"/>
      <c r="AV517" s="29"/>
      <c r="AW517" s="29"/>
      <c r="AX517" s="29"/>
      <c r="AY517" s="29"/>
      <c r="AZ517" s="29"/>
      <c r="BA517" s="29"/>
      <c r="BB517" s="29"/>
      <c r="BC517" s="29"/>
      <c r="BD517" s="29"/>
      <c r="BE517" s="29"/>
      <c r="BF517" s="29"/>
      <c r="BG517" s="29"/>
      <c r="BH517" s="29"/>
    </row>
    <row r="518" spans="1:60" ht="14.25" customHeight="1" x14ac:dyDescent="0.3">
      <c r="A518" s="28"/>
      <c r="B518" s="29"/>
      <c r="C518" s="30"/>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c r="AJ518" s="29"/>
      <c r="AK518" s="29"/>
      <c r="AL518" s="29"/>
      <c r="AM518" s="29"/>
      <c r="AN518" s="29"/>
      <c r="AO518" s="29"/>
      <c r="AP518" s="29"/>
      <c r="AQ518" s="29"/>
      <c r="AR518" s="29"/>
      <c r="AS518" s="29"/>
      <c r="AT518" s="29"/>
      <c r="AU518" s="29"/>
      <c r="AV518" s="29"/>
      <c r="AW518" s="29"/>
      <c r="AX518" s="29"/>
      <c r="AY518" s="29"/>
      <c r="AZ518" s="29"/>
      <c r="BA518" s="29"/>
      <c r="BB518" s="29"/>
      <c r="BC518" s="29"/>
      <c r="BD518" s="29"/>
      <c r="BE518" s="29"/>
      <c r="BF518" s="29"/>
      <c r="BG518" s="29"/>
      <c r="BH518" s="29"/>
    </row>
    <row r="519" spans="1:60" ht="14.25" customHeight="1" x14ac:dyDescent="0.3">
      <c r="A519" s="28"/>
      <c r="B519" s="29"/>
      <c r="C519" s="30"/>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c r="AT519" s="29"/>
      <c r="AU519" s="29"/>
      <c r="AV519" s="29"/>
      <c r="AW519" s="29"/>
      <c r="AX519" s="29"/>
      <c r="AY519" s="29"/>
      <c r="AZ519" s="29"/>
      <c r="BA519" s="29"/>
      <c r="BB519" s="29"/>
      <c r="BC519" s="29"/>
      <c r="BD519" s="29"/>
      <c r="BE519" s="29"/>
      <c r="BF519" s="29"/>
      <c r="BG519" s="29"/>
      <c r="BH519" s="29"/>
    </row>
    <row r="520" spans="1:60" ht="14.25" customHeight="1" x14ac:dyDescent="0.3">
      <c r="A520" s="28"/>
      <c r="B520" s="29"/>
      <c r="C520" s="30"/>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29"/>
      <c r="AI520" s="29"/>
      <c r="AJ520" s="29"/>
      <c r="AK520" s="29"/>
      <c r="AL520" s="29"/>
      <c r="AM520" s="29"/>
      <c r="AN520" s="29"/>
      <c r="AO520" s="29"/>
      <c r="AP520" s="29"/>
      <c r="AQ520" s="29"/>
      <c r="AR520" s="29"/>
      <c r="AS520" s="29"/>
      <c r="AT520" s="29"/>
      <c r="AU520" s="29"/>
      <c r="AV520" s="29"/>
      <c r="AW520" s="29"/>
      <c r="AX520" s="29"/>
      <c r="AY520" s="29"/>
      <c r="AZ520" s="29"/>
      <c r="BA520" s="29"/>
      <c r="BB520" s="29"/>
      <c r="BC520" s="29"/>
      <c r="BD520" s="29"/>
      <c r="BE520" s="29"/>
      <c r="BF520" s="29"/>
      <c r="BG520" s="29"/>
      <c r="BH520" s="29"/>
    </row>
    <row r="521" spans="1:60" ht="14.25" customHeight="1" x14ac:dyDescent="0.3">
      <c r="A521" s="28"/>
      <c r="B521" s="29"/>
      <c r="C521" s="30"/>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c r="AO521" s="29"/>
      <c r="AP521" s="29"/>
      <c r="AQ521" s="29"/>
      <c r="AR521" s="29"/>
      <c r="AS521" s="29"/>
      <c r="AT521" s="29"/>
      <c r="AU521" s="29"/>
      <c r="AV521" s="29"/>
      <c r="AW521" s="29"/>
      <c r="AX521" s="29"/>
      <c r="AY521" s="29"/>
      <c r="AZ521" s="29"/>
      <c r="BA521" s="29"/>
      <c r="BB521" s="29"/>
      <c r="BC521" s="29"/>
      <c r="BD521" s="29"/>
      <c r="BE521" s="29"/>
      <c r="BF521" s="29"/>
      <c r="BG521" s="29"/>
      <c r="BH521" s="29"/>
    </row>
    <row r="522" spans="1:60" ht="14.25" customHeight="1" x14ac:dyDescent="0.3">
      <c r="A522" s="28"/>
      <c r="B522" s="29"/>
      <c r="C522" s="30"/>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J522" s="29"/>
      <c r="AK522" s="29"/>
      <c r="AL522" s="29"/>
      <c r="AM522" s="29"/>
      <c r="AN522" s="29"/>
      <c r="AO522" s="29"/>
      <c r="AP522" s="29"/>
      <c r="AQ522" s="29"/>
      <c r="AR522" s="29"/>
      <c r="AS522" s="29"/>
      <c r="AT522" s="29"/>
      <c r="AU522" s="29"/>
      <c r="AV522" s="29"/>
      <c r="AW522" s="29"/>
      <c r="AX522" s="29"/>
      <c r="AY522" s="29"/>
      <c r="AZ522" s="29"/>
      <c r="BA522" s="29"/>
      <c r="BB522" s="29"/>
      <c r="BC522" s="29"/>
      <c r="BD522" s="29"/>
      <c r="BE522" s="29"/>
      <c r="BF522" s="29"/>
      <c r="BG522" s="29"/>
      <c r="BH522" s="29"/>
    </row>
    <row r="523" spans="1:60" ht="14.25" customHeight="1" x14ac:dyDescent="0.3">
      <c r="A523" s="28"/>
      <c r="B523" s="29"/>
      <c r="C523" s="30"/>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c r="AT523" s="29"/>
      <c r="AU523" s="29"/>
      <c r="AV523" s="29"/>
      <c r="AW523" s="29"/>
      <c r="AX523" s="29"/>
      <c r="AY523" s="29"/>
      <c r="AZ523" s="29"/>
      <c r="BA523" s="29"/>
      <c r="BB523" s="29"/>
      <c r="BC523" s="29"/>
      <c r="BD523" s="29"/>
      <c r="BE523" s="29"/>
      <c r="BF523" s="29"/>
      <c r="BG523" s="29"/>
      <c r="BH523" s="29"/>
    </row>
    <row r="524" spans="1:60" ht="14.25" customHeight="1" x14ac:dyDescent="0.3">
      <c r="A524" s="28"/>
      <c r="B524" s="29"/>
      <c r="C524" s="30"/>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c r="AN524" s="29"/>
      <c r="AO524" s="29"/>
      <c r="AP524" s="29"/>
      <c r="AQ524" s="29"/>
      <c r="AR524" s="29"/>
      <c r="AS524" s="29"/>
      <c r="AT524" s="29"/>
      <c r="AU524" s="29"/>
      <c r="AV524" s="29"/>
      <c r="AW524" s="29"/>
      <c r="AX524" s="29"/>
      <c r="AY524" s="29"/>
      <c r="AZ524" s="29"/>
      <c r="BA524" s="29"/>
      <c r="BB524" s="29"/>
      <c r="BC524" s="29"/>
      <c r="BD524" s="29"/>
      <c r="BE524" s="29"/>
      <c r="BF524" s="29"/>
      <c r="BG524" s="29"/>
      <c r="BH524" s="29"/>
    </row>
    <row r="525" spans="1:60" ht="14.25" customHeight="1" x14ac:dyDescent="0.3">
      <c r="A525" s="28"/>
      <c r="B525" s="29"/>
      <c r="C525" s="30"/>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c r="AT525" s="29"/>
      <c r="AU525" s="29"/>
      <c r="AV525" s="29"/>
      <c r="AW525" s="29"/>
      <c r="AX525" s="29"/>
      <c r="AY525" s="29"/>
      <c r="AZ525" s="29"/>
      <c r="BA525" s="29"/>
      <c r="BB525" s="29"/>
      <c r="BC525" s="29"/>
      <c r="BD525" s="29"/>
      <c r="BE525" s="29"/>
      <c r="BF525" s="29"/>
      <c r="BG525" s="29"/>
      <c r="BH525" s="29"/>
    </row>
    <row r="526" spans="1:60" ht="14.25" customHeight="1" x14ac:dyDescent="0.3">
      <c r="A526" s="28"/>
      <c r="B526" s="29"/>
      <c r="C526" s="30"/>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c r="AJ526" s="29"/>
      <c r="AK526" s="29"/>
      <c r="AL526" s="29"/>
      <c r="AM526" s="29"/>
      <c r="AN526" s="29"/>
      <c r="AO526" s="29"/>
      <c r="AP526" s="29"/>
      <c r="AQ526" s="29"/>
      <c r="AR526" s="29"/>
      <c r="AS526" s="29"/>
      <c r="AT526" s="29"/>
      <c r="AU526" s="29"/>
      <c r="AV526" s="29"/>
      <c r="AW526" s="29"/>
      <c r="AX526" s="29"/>
      <c r="AY526" s="29"/>
      <c r="AZ526" s="29"/>
      <c r="BA526" s="29"/>
      <c r="BB526" s="29"/>
      <c r="BC526" s="29"/>
      <c r="BD526" s="29"/>
      <c r="BE526" s="29"/>
      <c r="BF526" s="29"/>
      <c r="BG526" s="29"/>
      <c r="BH526" s="29"/>
    </row>
    <row r="527" spans="1:60" ht="14.25" customHeight="1" x14ac:dyDescent="0.3">
      <c r="A527" s="28"/>
      <c r="B527" s="29"/>
      <c r="C527" s="30"/>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c r="AO527" s="29"/>
      <c r="AP527" s="29"/>
      <c r="AQ527" s="29"/>
      <c r="AR527" s="29"/>
      <c r="AS527" s="29"/>
      <c r="AT527" s="29"/>
      <c r="AU527" s="29"/>
      <c r="AV527" s="29"/>
      <c r="AW527" s="29"/>
      <c r="AX527" s="29"/>
      <c r="AY527" s="29"/>
      <c r="AZ527" s="29"/>
      <c r="BA527" s="29"/>
      <c r="BB527" s="29"/>
      <c r="BC527" s="29"/>
      <c r="BD527" s="29"/>
      <c r="BE527" s="29"/>
      <c r="BF527" s="29"/>
      <c r="BG527" s="29"/>
      <c r="BH527" s="29"/>
    </row>
    <row r="528" spans="1:60" ht="14.25" customHeight="1" x14ac:dyDescent="0.3">
      <c r="A528" s="28"/>
      <c r="B528" s="29"/>
      <c r="C528" s="30"/>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c r="AJ528" s="29"/>
      <c r="AK528" s="29"/>
      <c r="AL528" s="29"/>
      <c r="AM528" s="29"/>
      <c r="AN528" s="29"/>
      <c r="AO528" s="29"/>
      <c r="AP528" s="29"/>
      <c r="AQ528" s="29"/>
      <c r="AR528" s="29"/>
      <c r="AS528" s="29"/>
      <c r="AT528" s="29"/>
      <c r="AU528" s="29"/>
      <c r="AV528" s="29"/>
      <c r="AW528" s="29"/>
      <c r="AX528" s="29"/>
      <c r="AY528" s="29"/>
      <c r="AZ528" s="29"/>
      <c r="BA528" s="29"/>
      <c r="BB528" s="29"/>
      <c r="BC528" s="29"/>
      <c r="BD528" s="29"/>
      <c r="BE528" s="29"/>
      <c r="BF528" s="29"/>
      <c r="BG528" s="29"/>
      <c r="BH528" s="29"/>
    </row>
    <row r="529" spans="1:60" ht="14.25" customHeight="1" x14ac:dyDescent="0.3">
      <c r="A529" s="28"/>
      <c r="B529" s="29"/>
      <c r="C529" s="30"/>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c r="AP529" s="29"/>
      <c r="AQ529" s="29"/>
      <c r="AR529" s="29"/>
      <c r="AS529" s="29"/>
      <c r="AT529" s="29"/>
      <c r="AU529" s="29"/>
      <c r="AV529" s="29"/>
      <c r="AW529" s="29"/>
      <c r="AX529" s="29"/>
      <c r="AY529" s="29"/>
      <c r="AZ529" s="29"/>
      <c r="BA529" s="29"/>
      <c r="BB529" s="29"/>
      <c r="BC529" s="29"/>
      <c r="BD529" s="29"/>
      <c r="BE529" s="29"/>
      <c r="BF529" s="29"/>
      <c r="BG529" s="29"/>
      <c r="BH529" s="29"/>
    </row>
    <row r="530" spans="1:60" ht="14.25" customHeight="1" x14ac:dyDescent="0.3">
      <c r="A530" s="28"/>
      <c r="B530" s="29"/>
      <c r="C530" s="30"/>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c r="AJ530" s="29"/>
      <c r="AK530" s="29"/>
      <c r="AL530" s="29"/>
      <c r="AM530" s="29"/>
      <c r="AN530" s="29"/>
      <c r="AO530" s="29"/>
      <c r="AP530" s="29"/>
      <c r="AQ530" s="29"/>
      <c r="AR530" s="29"/>
      <c r="AS530" s="29"/>
      <c r="AT530" s="29"/>
      <c r="AU530" s="29"/>
      <c r="AV530" s="29"/>
      <c r="AW530" s="29"/>
      <c r="AX530" s="29"/>
      <c r="AY530" s="29"/>
      <c r="AZ530" s="29"/>
      <c r="BA530" s="29"/>
      <c r="BB530" s="29"/>
      <c r="BC530" s="29"/>
      <c r="BD530" s="29"/>
      <c r="BE530" s="29"/>
      <c r="BF530" s="29"/>
      <c r="BG530" s="29"/>
      <c r="BH530" s="29"/>
    </row>
    <row r="531" spans="1:60" ht="14.25" customHeight="1" x14ac:dyDescent="0.3">
      <c r="A531" s="28"/>
      <c r="B531" s="29"/>
      <c r="C531" s="30"/>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c r="AO531" s="29"/>
      <c r="AP531" s="29"/>
      <c r="AQ531" s="29"/>
      <c r="AR531" s="29"/>
      <c r="AS531" s="29"/>
      <c r="AT531" s="29"/>
      <c r="AU531" s="29"/>
      <c r="AV531" s="29"/>
      <c r="AW531" s="29"/>
      <c r="AX531" s="29"/>
      <c r="AY531" s="29"/>
      <c r="AZ531" s="29"/>
      <c r="BA531" s="29"/>
      <c r="BB531" s="29"/>
      <c r="BC531" s="29"/>
      <c r="BD531" s="29"/>
      <c r="BE531" s="29"/>
      <c r="BF531" s="29"/>
      <c r="BG531" s="29"/>
      <c r="BH531" s="29"/>
    </row>
    <row r="532" spans="1:60" ht="14.25" customHeight="1" x14ac:dyDescent="0.3">
      <c r="A532" s="28"/>
      <c r="B532" s="29"/>
      <c r="C532" s="30"/>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c r="AJ532" s="29"/>
      <c r="AK532" s="29"/>
      <c r="AL532" s="29"/>
      <c r="AM532" s="29"/>
      <c r="AN532" s="29"/>
      <c r="AO532" s="29"/>
      <c r="AP532" s="29"/>
      <c r="AQ532" s="29"/>
      <c r="AR532" s="29"/>
      <c r="AS532" s="29"/>
      <c r="AT532" s="29"/>
      <c r="AU532" s="29"/>
      <c r="AV532" s="29"/>
      <c r="AW532" s="29"/>
      <c r="AX532" s="29"/>
      <c r="AY532" s="29"/>
      <c r="AZ532" s="29"/>
      <c r="BA532" s="29"/>
      <c r="BB532" s="29"/>
      <c r="BC532" s="29"/>
      <c r="BD532" s="29"/>
      <c r="BE532" s="29"/>
      <c r="BF532" s="29"/>
      <c r="BG532" s="29"/>
      <c r="BH532" s="29"/>
    </row>
    <row r="533" spans="1:60" ht="14.25" customHeight="1" x14ac:dyDescent="0.3">
      <c r="A533" s="28"/>
      <c r="B533" s="29"/>
      <c r="C533" s="30"/>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c r="AT533" s="29"/>
      <c r="AU533" s="29"/>
      <c r="AV533" s="29"/>
      <c r="AW533" s="29"/>
      <c r="AX533" s="29"/>
      <c r="AY533" s="29"/>
      <c r="AZ533" s="29"/>
      <c r="BA533" s="29"/>
      <c r="BB533" s="29"/>
      <c r="BC533" s="29"/>
      <c r="BD533" s="29"/>
      <c r="BE533" s="29"/>
      <c r="BF533" s="29"/>
      <c r="BG533" s="29"/>
      <c r="BH533" s="29"/>
    </row>
    <row r="534" spans="1:60" ht="14.25" customHeight="1" x14ac:dyDescent="0.3">
      <c r="A534" s="28"/>
      <c r="B534" s="29"/>
      <c r="C534" s="30"/>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J534" s="29"/>
      <c r="AK534" s="29"/>
      <c r="AL534" s="29"/>
      <c r="AM534" s="29"/>
      <c r="AN534" s="29"/>
      <c r="AO534" s="29"/>
      <c r="AP534" s="29"/>
      <c r="AQ534" s="29"/>
      <c r="AR534" s="29"/>
      <c r="AS534" s="29"/>
      <c r="AT534" s="29"/>
      <c r="AU534" s="29"/>
      <c r="AV534" s="29"/>
      <c r="AW534" s="29"/>
      <c r="AX534" s="29"/>
      <c r="AY534" s="29"/>
      <c r="AZ534" s="29"/>
      <c r="BA534" s="29"/>
      <c r="BB534" s="29"/>
      <c r="BC534" s="29"/>
      <c r="BD534" s="29"/>
      <c r="BE534" s="29"/>
      <c r="BF534" s="29"/>
      <c r="BG534" s="29"/>
      <c r="BH534" s="29"/>
    </row>
    <row r="535" spans="1:60" ht="14.25" customHeight="1" x14ac:dyDescent="0.3">
      <c r="A535" s="28"/>
      <c r="B535" s="29"/>
      <c r="C535" s="30"/>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c r="AR535" s="29"/>
      <c r="AS535" s="29"/>
      <c r="AT535" s="29"/>
      <c r="AU535" s="29"/>
      <c r="AV535" s="29"/>
      <c r="AW535" s="29"/>
      <c r="AX535" s="29"/>
      <c r="AY535" s="29"/>
      <c r="AZ535" s="29"/>
      <c r="BA535" s="29"/>
      <c r="BB535" s="29"/>
      <c r="BC535" s="29"/>
      <c r="BD535" s="29"/>
      <c r="BE535" s="29"/>
      <c r="BF535" s="29"/>
      <c r="BG535" s="29"/>
      <c r="BH535" s="29"/>
    </row>
    <row r="536" spans="1:60" ht="14.25" customHeight="1" x14ac:dyDescent="0.3">
      <c r="A536" s="28"/>
      <c r="B536" s="29"/>
      <c r="C536" s="30"/>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29"/>
      <c r="AI536" s="29"/>
      <c r="AJ536" s="29"/>
      <c r="AK536" s="29"/>
      <c r="AL536" s="29"/>
      <c r="AM536" s="29"/>
      <c r="AN536" s="29"/>
      <c r="AO536" s="29"/>
      <c r="AP536" s="29"/>
      <c r="AQ536" s="29"/>
      <c r="AR536" s="29"/>
      <c r="AS536" s="29"/>
      <c r="AT536" s="29"/>
      <c r="AU536" s="29"/>
      <c r="AV536" s="29"/>
      <c r="AW536" s="29"/>
      <c r="AX536" s="29"/>
      <c r="AY536" s="29"/>
      <c r="AZ536" s="29"/>
      <c r="BA536" s="29"/>
      <c r="BB536" s="29"/>
      <c r="BC536" s="29"/>
      <c r="BD536" s="29"/>
      <c r="BE536" s="29"/>
      <c r="BF536" s="29"/>
      <c r="BG536" s="29"/>
      <c r="BH536" s="29"/>
    </row>
    <row r="537" spans="1:60" ht="14.25" customHeight="1" x14ac:dyDescent="0.3">
      <c r="A537" s="28"/>
      <c r="B537" s="29"/>
      <c r="C537" s="30"/>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c r="AR537" s="29"/>
      <c r="AS537" s="29"/>
      <c r="AT537" s="29"/>
      <c r="AU537" s="29"/>
      <c r="AV537" s="29"/>
      <c r="AW537" s="29"/>
      <c r="AX537" s="29"/>
      <c r="AY537" s="29"/>
      <c r="AZ537" s="29"/>
      <c r="BA537" s="29"/>
      <c r="BB537" s="29"/>
      <c r="BC537" s="29"/>
      <c r="BD537" s="29"/>
      <c r="BE537" s="29"/>
      <c r="BF537" s="29"/>
      <c r="BG537" s="29"/>
      <c r="BH537" s="29"/>
    </row>
    <row r="538" spans="1:60" ht="14.25" customHeight="1" x14ac:dyDescent="0.3">
      <c r="A538" s="28"/>
      <c r="B538" s="29"/>
      <c r="C538" s="30"/>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c r="AJ538" s="29"/>
      <c r="AK538" s="29"/>
      <c r="AL538" s="29"/>
      <c r="AM538" s="29"/>
      <c r="AN538" s="29"/>
      <c r="AO538" s="29"/>
      <c r="AP538" s="29"/>
      <c r="AQ538" s="29"/>
      <c r="AR538" s="29"/>
      <c r="AS538" s="29"/>
      <c r="AT538" s="29"/>
      <c r="AU538" s="29"/>
      <c r="AV538" s="29"/>
      <c r="AW538" s="29"/>
      <c r="AX538" s="29"/>
      <c r="AY538" s="29"/>
      <c r="AZ538" s="29"/>
      <c r="BA538" s="29"/>
      <c r="BB538" s="29"/>
      <c r="BC538" s="29"/>
      <c r="BD538" s="29"/>
      <c r="BE538" s="29"/>
      <c r="BF538" s="29"/>
      <c r="BG538" s="29"/>
      <c r="BH538" s="29"/>
    </row>
    <row r="539" spans="1:60" ht="14.25" customHeight="1" x14ac:dyDescent="0.3">
      <c r="A539" s="28"/>
      <c r="B539" s="29"/>
      <c r="C539" s="30"/>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c r="AV539" s="29"/>
      <c r="AW539" s="29"/>
      <c r="AX539" s="29"/>
      <c r="AY539" s="29"/>
      <c r="AZ539" s="29"/>
      <c r="BA539" s="29"/>
      <c r="BB539" s="29"/>
      <c r="BC539" s="29"/>
      <c r="BD539" s="29"/>
      <c r="BE539" s="29"/>
      <c r="BF539" s="29"/>
      <c r="BG539" s="29"/>
      <c r="BH539" s="29"/>
    </row>
    <row r="540" spans="1:60" ht="14.25" customHeight="1" x14ac:dyDescent="0.3">
      <c r="A540" s="28"/>
      <c r="B540" s="29"/>
      <c r="C540" s="30"/>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c r="AJ540" s="29"/>
      <c r="AK540" s="29"/>
      <c r="AL540" s="29"/>
      <c r="AM540" s="29"/>
      <c r="AN540" s="29"/>
      <c r="AO540" s="29"/>
      <c r="AP540" s="29"/>
      <c r="AQ540" s="29"/>
      <c r="AR540" s="29"/>
      <c r="AS540" s="29"/>
      <c r="AT540" s="29"/>
      <c r="AU540" s="29"/>
      <c r="AV540" s="29"/>
      <c r="AW540" s="29"/>
      <c r="AX540" s="29"/>
      <c r="AY540" s="29"/>
      <c r="AZ540" s="29"/>
      <c r="BA540" s="29"/>
      <c r="BB540" s="29"/>
      <c r="BC540" s="29"/>
      <c r="BD540" s="29"/>
      <c r="BE540" s="29"/>
      <c r="BF540" s="29"/>
      <c r="BG540" s="29"/>
      <c r="BH540" s="29"/>
    </row>
    <row r="541" spans="1:60" ht="14.25" customHeight="1" x14ac:dyDescent="0.3">
      <c r="A541" s="28"/>
      <c r="B541" s="29"/>
      <c r="C541" s="30"/>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c r="AR541" s="29"/>
      <c r="AS541" s="29"/>
      <c r="AT541" s="29"/>
      <c r="AU541" s="29"/>
      <c r="AV541" s="29"/>
      <c r="AW541" s="29"/>
      <c r="AX541" s="29"/>
      <c r="AY541" s="29"/>
      <c r="AZ541" s="29"/>
      <c r="BA541" s="29"/>
      <c r="BB541" s="29"/>
      <c r="BC541" s="29"/>
      <c r="BD541" s="29"/>
      <c r="BE541" s="29"/>
      <c r="BF541" s="29"/>
      <c r="BG541" s="29"/>
      <c r="BH541" s="29"/>
    </row>
    <row r="542" spans="1:60" ht="14.25" customHeight="1" x14ac:dyDescent="0.3">
      <c r="A542" s="28"/>
      <c r="B542" s="29"/>
      <c r="C542" s="30"/>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J542" s="29"/>
      <c r="AK542" s="29"/>
      <c r="AL542" s="29"/>
      <c r="AM542" s="29"/>
      <c r="AN542" s="29"/>
      <c r="AO542" s="29"/>
      <c r="AP542" s="29"/>
      <c r="AQ542" s="29"/>
      <c r="AR542" s="29"/>
      <c r="AS542" s="29"/>
      <c r="AT542" s="29"/>
      <c r="AU542" s="29"/>
      <c r="AV542" s="29"/>
      <c r="AW542" s="29"/>
      <c r="AX542" s="29"/>
      <c r="AY542" s="29"/>
      <c r="AZ542" s="29"/>
      <c r="BA542" s="29"/>
      <c r="BB542" s="29"/>
      <c r="BC542" s="29"/>
      <c r="BD542" s="29"/>
      <c r="BE542" s="29"/>
      <c r="BF542" s="29"/>
      <c r="BG542" s="29"/>
      <c r="BH542" s="29"/>
    </row>
    <row r="543" spans="1:60" ht="14.25" customHeight="1" x14ac:dyDescent="0.3">
      <c r="A543" s="28"/>
      <c r="B543" s="29"/>
      <c r="C543" s="30"/>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c r="AT543" s="29"/>
      <c r="AU543" s="29"/>
      <c r="AV543" s="29"/>
      <c r="AW543" s="29"/>
      <c r="AX543" s="29"/>
      <c r="AY543" s="29"/>
      <c r="AZ543" s="29"/>
      <c r="BA543" s="29"/>
      <c r="BB543" s="29"/>
      <c r="BC543" s="29"/>
      <c r="BD543" s="29"/>
      <c r="BE543" s="29"/>
      <c r="BF543" s="29"/>
      <c r="BG543" s="29"/>
      <c r="BH543" s="29"/>
    </row>
    <row r="544" spans="1:60" ht="14.25" customHeight="1" x14ac:dyDescent="0.3">
      <c r="A544" s="28"/>
      <c r="B544" s="29"/>
      <c r="C544" s="30"/>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J544" s="29"/>
      <c r="AK544" s="29"/>
      <c r="AL544" s="29"/>
      <c r="AM544" s="29"/>
      <c r="AN544" s="29"/>
      <c r="AO544" s="29"/>
      <c r="AP544" s="29"/>
      <c r="AQ544" s="29"/>
      <c r="AR544" s="29"/>
      <c r="AS544" s="29"/>
      <c r="AT544" s="29"/>
      <c r="AU544" s="29"/>
      <c r="AV544" s="29"/>
      <c r="AW544" s="29"/>
      <c r="AX544" s="29"/>
      <c r="AY544" s="29"/>
      <c r="AZ544" s="29"/>
      <c r="BA544" s="29"/>
      <c r="BB544" s="29"/>
      <c r="BC544" s="29"/>
      <c r="BD544" s="29"/>
      <c r="BE544" s="29"/>
      <c r="BF544" s="29"/>
      <c r="BG544" s="29"/>
      <c r="BH544" s="29"/>
    </row>
    <row r="545" spans="1:60" ht="14.25" customHeight="1" x14ac:dyDescent="0.3">
      <c r="A545" s="28"/>
      <c r="B545" s="29"/>
      <c r="C545" s="30"/>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c r="AR545" s="29"/>
      <c r="AS545" s="29"/>
      <c r="AT545" s="29"/>
      <c r="AU545" s="29"/>
      <c r="AV545" s="29"/>
      <c r="AW545" s="29"/>
      <c r="AX545" s="29"/>
      <c r="AY545" s="29"/>
      <c r="AZ545" s="29"/>
      <c r="BA545" s="29"/>
      <c r="BB545" s="29"/>
      <c r="BC545" s="29"/>
      <c r="BD545" s="29"/>
      <c r="BE545" s="29"/>
      <c r="BF545" s="29"/>
      <c r="BG545" s="29"/>
      <c r="BH545" s="29"/>
    </row>
    <row r="546" spans="1:60" ht="14.25" customHeight="1" x14ac:dyDescent="0.3">
      <c r="A546" s="28"/>
      <c r="B546" s="29"/>
      <c r="C546" s="30"/>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c r="AJ546" s="29"/>
      <c r="AK546" s="29"/>
      <c r="AL546" s="29"/>
      <c r="AM546" s="29"/>
      <c r="AN546" s="29"/>
      <c r="AO546" s="29"/>
      <c r="AP546" s="29"/>
      <c r="AQ546" s="29"/>
      <c r="AR546" s="29"/>
      <c r="AS546" s="29"/>
      <c r="AT546" s="29"/>
      <c r="AU546" s="29"/>
      <c r="AV546" s="29"/>
      <c r="AW546" s="29"/>
      <c r="AX546" s="29"/>
      <c r="AY546" s="29"/>
      <c r="AZ546" s="29"/>
      <c r="BA546" s="29"/>
      <c r="BB546" s="29"/>
      <c r="BC546" s="29"/>
      <c r="BD546" s="29"/>
      <c r="BE546" s="29"/>
      <c r="BF546" s="29"/>
      <c r="BG546" s="29"/>
      <c r="BH546" s="29"/>
    </row>
    <row r="547" spans="1:60" ht="14.25" customHeight="1" x14ac:dyDescent="0.3">
      <c r="A547" s="28"/>
      <c r="B547" s="29"/>
      <c r="C547" s="30"/>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c r="AN547" s="29"/>
      <c r="AO547" s="29"/>
      <c r="AP547" s="29"/>
      <c r="AQ547" s="29"/>
      <c r="AR547" s="29"/>
      <c r="AS547" s="29"/>
      <c r="AT547" s="29"/>
      <c r="AU547" s="29"/>
      <c r="AV547" s="29"/>
      <c r="AW547" s="29"/>
      <c r="AX547" s="29"/>
      <c r="AY547" s="29"/>
      <c r="AZ547" s="29"/>
      <c r="BA547" s="29"/>
      <c r="BB547" s="29"/>
      <c r="BC547" s="29"/>
      <c r="BD547" s="29"/>
      <c r="BE547" s="29"/>
      <c r="BF547" s="29"/>
      <c r="BG547" s="29"/>
      <c r="BH547" s="29"/>
    </row>
    <row r="548" spans="1:60" ht="14.25" customHeight="1" x14ac:dyDescent="0.3">
      <c r="A548" s="28"/>
      <c r="B548" s="29"/>
      <c r="C548" s="30"/>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c r="AJ548" s="29"/>
      <c r="AK548" s="29"/>
      <c r="AL548" s="29"/>
      <c r="AM548" s="29"/>
      <c r="AN548" s="29"/>
      <c r="AO548" s="29"/>
      <c r="AP548" s="29"/>
      <c r="AQ548" s="29"/>
      <c r="AR548" s="29"/>
      <c r="AS548" s="29"/>
      <c r="AT548" s="29"/>
      <c r="AU548" s="29"/>
      <c r="AV548" s="29"/>
      <c r="AW548" s="29"/>
      <c r="AX548" s="29"/>
      <c r="AY548" s="29"/>
      <c r="AZ548" s="29"/>
      <c r="BA548" s="29"/>
      <c r="BB548" s="29"/>
      <c r="BC548" s="29"/>
      <c r="BD548" s="29"/>
      <c r="BE548" s="29"/>
      <c r="BF548" s="29"/>
      <c r="BG548" s="29"/>
      <c r="BH548" s="29"/>
    </row>
    <row r="549" spans="1:60" ht="14.25" customHeight="1" x14ac:dyDescent="0.3">
      <c r="A549" s="28"/>
      <c r="B549" s="29"/>
      <c r="C549" s="30"/>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c r="AR549" s="29"/>
      <c r="AS549" s="29"/>
      <c r="AT549" s="29"/>
      <c r="AU549" s="29"/>
      <c r="AV549" s="29"/>
      <c r="AW549" s="29"/>
      <c r="AX549" s="29"/>
      <c r="AY549" s="29"/>
      <c r="AZ549" s="29"/>
      <c r="BA549" s="29"/>
      <c r="BB549" s="29"/>
      <c r="BC549" s="29"/>
      <c r="BD549" s="29"/>
      <c r="BE549" s="29"/>
      <c r="BF549" s="29"/>
      <c r="BG549" s="29"/>
      <c r="BH549" s="29"/>
    </row>
    <row r="550" spans="1:60" ht="14.25" customHeight="1" x14ac:dyDescent="0.3">
      <c r="A550" s="28"/>
      <c r="B550" s="29"/>
      <c r="C550" s="30"/>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c r="AJ550" s="29"/>
      <c r="AK550" s="29"/>
      <c r="AL550" s="29"/>
      <c r="AM550" s="29"/>
      <c r="AN550" s="29"/>
      <c r="AO550" s="29"/>
      <c r="AP550" s="29"/>
      <c r="AQ550" s="29"/>
      <c r="AR550" s="29"/>
      <c r="AS550" s="29"/>
      <c r="AT550" s="29"/>
      <c r="AU550" s="29"/>
      <c r="AV550" s="29"/>
      <c r="AW550" s="29"/>
      <c r="AX550" s="29"/>
      <c r="AY550" s="29"/>
      <c r="AZ550" s="29"/>
      <c r="BA550" s="29"/>
      <c r="BB550" s="29"/>
      <c r="BC550" s="29"/>
      <c r="BD550" s="29"/>
      <c r="BE550" s="29"/>
      <c r="BF550" s="29"/>
      <c r="BG550" s="29"/>
      <c r="BH550" s="29"/>
    </row>
    <row r="551" spans="1:60" ht="14.25" customHeight="1" x14ac:dyDescent="0.3">
      <c r="A551" s="28"/>
      <c r="B551" s="29"/>
      <c r="C551" s="30"/>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c r="AT551" s="29"/>
      <c r="AU551" s="29"/>
      <c r="AV551" s="29"/>
      <c r="AW551" s="29"/>
      <c r="AX551" s="29"/>
      <c r="AY551" s="29"/>
      <c r="AZ551" s="29"/>
      <c r="BA551" s="29"/>
      <c r="BB551" s="29"/>
      <c r="BC551" s="29"/>
      <c r="BD551" s="29"/>
      <c r="BE551" s="29"/>
      <c r="BF551" s="29"/>
      <c r="BG551" s="29"/>
      <c r="BH551" s="29"/>
    </row>
    <row r="552" spans="1:60" ht="14.25" customHeight="1" x14ac:dyDescent="0.3">
      <c r="A552" s="28"/>
      <c r="B552" s="29"/>
      <c r="C552" s="30"/>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29"/>
      <c r="AI552" s="29"/>
      <c r="AJ552" s="29"/>
      <c r="AK552" s="29"/>
      <c r="AL552" s="29"/>
      <c r="AM552" s="29"/>
      <c r="AN552" s="29"/>
      <c r="AO552" s="29"/>
      <c r="AP552" s="29"/>
      <c r="AQ552" s="29"/>
      <c r="AR552" s="29"/>
      <c r="AS552" s="29"/>
      <c r="AT552" s="29"/>
      <c r="AU552" s="29"/>
      <c r="AV552" s="29"/>
      <c r="AW552" s="29"/>
      <c r="AX552" s="29"/>
      <c r="AY552" s="29"/>
      <c r="AZ552" s="29"/>
      <c r="BA552" s="29"/>
      <c r="BB552" s="29"/>
      <c r="BC552" s="29"/>
      <c r="BD552" s="29"/>
      <c r="BE552" s="29"/>
      <c r="BF552" s="29"/>
      <c r="BG552" s="29"/>
      <c r="BH552" s="29"/>
    </row>
    <row r="553" spans="1:60" ht="14.25" customHeight="1" x14ac:dyDescent="0.3">
      <c r="A553" s="28"/>
      <c r="B553" s="29"/>
      <c r="C553" s="30"/>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c r="AN553" s="29"/>
      <c r="AO553" s="29"/>
      <c r="AP553" s="29"/>
      <c r="AQ553" s="29"/>
      <c r="AR553" s="29"/>
      <c r="AS553" s="29"/>
      <c r="AT553" s="29"/>
      <c r="AU553" s="29"/>
      <c r="AV553" s="29"/>
      <c r="AW553" s="29"/>
      <c r="AX553" s="29"/>
      <c r="AY553" s="29"/>
      <c r="AZ553" s="29"/>
      <c r="BA553" s="29"/>
      <c r="BB553" s="29"/>
      <c r="BC553" s="29"/>
      <c r="BD553" s="29"/>
      <c r="BE553" s="29"/>
      <c r="BF553" s="29"/>
      <c r="BG553" s="29"/>
      <c r="BH553" s="29"/>
    </row>
    <row r="554" spans="1:60" ht="14.25" customHeight="1" x14ac:dyDescent="0.3">
      <c r="A554" s="28"/>
      <c r="B554" s="29"/>
      <c r="C554" s="30"/>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c r="AH554" s="29"/>
      <c r="AI554" s="29"/>
      <c r="AJ554" s="29"/>
      <c r="AK554" s="29"/>
      <c r="AL554" s="29"/>
      <c r="AM554" s="29"/>
      <c r="AN554" s="29"/>
      <c r="AO554" s="29"/>
      <c r="AP554" s="29"/>
      <c r="AQ554" s="29"/>
      <c r="AR554" s="29"/>
      <c r="AS554" s="29"/>
      <c r="AT554" s="29"/>
      <c r="AU554" s="29"/>
      <c r="AV554" s="29"/>
      <c r="AW554" s="29"/>
      <c r="AX554" s="29"/>
      <c r="AY554" s="29"/>
      <c r="AZ554" s="29"/>
      <c r="BA554" s="29"/>
      <c r="BB554" s="29"/>
      <c r="BC554" s="29"/>
      <c r="BD554" s="29"/>
      <c r="BE554" s="29"/>
      <c r="BF554" s="29"/>
      <c r="BG554" s="29"/>
      <c r="BH554" s="29"/>
    </row>
    <row r="555" spans="1:60" ht="14.25" customHeight="1" x14ac:dyDescent="0.3">
      <c r="A555" s="28"/>
      <c r="B555" s="29"/>
      <c r="C555" s="30"/>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c r="AO555" s="29"/>
      <c r="AP555" s="29"/>
      <c r="AQ555" s="29"/>
      <c r="AR555" s="29"/>
      <c r="AS555" s="29"/>
      <c r="AT555" s="29"/>
      <c r="AU555" s="29"/>
      <c r="AV555" s="29"/>
      <c r="AW555" s="29"/>
      <c r="AX555" s="29"/>
      <c r="AY555" s="29"/>
      <c r="AZ555" s="29"/>
      <c r="BA555" s="29"/>
      <c r="BB555" s="29"/>
      <c r="BC555" s="29"/>
      <c r="BD555" s="29"/>
      <c r="BE555" s="29"/>
      <c r="BF555" s="29"/>
      <c r="BG555" s="29"/>
      <c r="BH555" s="29"/>
    </row>
    <row r="556" spans="1:60" ht="14.25" customHeight="1" x14ac:dyDescent="0.3">
      <c r="A556" s="28"/>
      <c r="B556" s="29"/>
      <c r="C556" s="30"/>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c r="AH556" s="29"/>
      <c r="AI556" s="29"/>
      <c r="AJ556" s="29"/>
      <c r="AK556" s="29"/>
      <c r="AL556" s="29"/>
      <c r="AM556" s="29"/>
      <c r="AN556" s="29"/>
      <c r="AO556" s="29"/>
      <c r="AP556" s="29"/>
      <c r="AQ556" s="29"/>
      <c r="AR556" s="29"/>
      <c r="AS556" s="29"/>
      <c r="AT556" s="29"/>
      <c r="AU556" s="29"/>
      <c r="AV556" s="29"/>
      <c r="AW556" s="29"/>
      <c r="AX556" s="29"/>
      <c r="AY556" s="29"/>
      <c r="AZ556" s="29"/>
      <c r="BA556" s="29"/>
      <c r="BB556" s="29"/>
      <c r="BC556" s="29"/>
      <c r="BD556" s="29"/>
      <c r="BE556" s="29"/>
      <c r="BF556" s="29"/>
      <c r="BG556" s="29"/>
      <c r="BH556" s="29"/>
    </row>
    <row r="557" spans="1:60" ht="14.25" customHeight="1" x14ac:dyDescent="0.3">
      <c r="A557" s="28"/>
      <c r="B557" s="29"/>
      <c r="C557" s="30"/>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c r="AO557" s="29"/>
      <c r="AP557" s="29"/>
      <c r="AQ557" s="29"/>
      <c r="AR557" s="29"/>
      <c r="AS557" s="29"/>
      <c r="AT557" s="29"/>
      <c r="AU557" s="29"/>
      <c r="AV557" s="29"/>
      <c r="AW557" s="29"/>
      <c r="AX557" s="29"/>
      <c r="AY557" s="29"/>
      <c r="AZ557" s="29"/>
      <c r="BA557" s="29"/>
      <c r="BB557" s="29"/>
      <c r="BC557" s="29"/>
      <c r="BD557" s="29"/>
      <c r="BE557" s="29"/>
      <c r="BF557" s="29"/>
      <c r="BG557" s="29"/>
      <c r="BH557" s="29"/>
    </row>
    <row r="558" spans="1:60" ht="14.25" customHeight="1" x14ac:dyDescent="0.3">
      <c r="A558" s="28"/>
      <c r="B558" s="29"/>
      <c r="C558" s="30"/>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29"/>
      <c r="AI558" s="29"/>
      <c r="AJ558" s="29"/>
      <c r="AK558" s="29"/>
      <c r="AL558" s="29"/>
      <c r="AM558" s="29"/>
      <c r="AN558" s="29"/>
      <c r="AO558" s="29"/>
      <c r="AP558" s="29"/>
      <c r="AQ558" s="29"/>
      <c r="AR558" s="29"/>
      <c r="AS558" s="29"/>
      <c r="AT558" s="29"/>
      <c r="AU558" s="29"/>
      <c r="AV558" s="29"/>
      <c r="AW558" s="29"/>
      <c r="AX558" s="29"/>
      <c r="AY558" s="29"/>
      <c r="AZ558" s="29"/>
      <c r="BA558" s="29"/>
      <c r="BB558" s="29"/>
      <c r="BC558" s="29"/>
      <c r="BD558" s="29"/>
      <c r="BE558" s="29"/>
      <c r="BF558" s="29"/>
      <c r="BG558" s="29"/>
      <c r="BH558" s="29"/>
    </row>
    <row r="559" spans="1:60" ht="14.25" customHeight="1" x14ac:dyDescent="0.3">
      <c r="A559" s="28"/>
      <c r="B559" s="29"/>
      <c r="C559" s="30"/>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c r="AO559" s="29"/>
      <c r="AP559" s="29"/>
      <c r="AQ559" s="29"/>
      <c r="AR559" s="29"/>
      <c r="AS559" s="29"/>
      <c r="AT559" s="29"/>
      <c r="AU559" s="29"/>
      <c r="AV559" s="29"/>
      <c r="AW559" s="29"/>
      <c r="AX559" s="29"/>
      <c r="AY559" s="29"/>
      <c r="AZ559" s="29"/>
      <c r="BA559" s="29"/>
      <c r="BB559" s="29"/>
      <c r="BC559" s="29"/>
      <c r="BD559" s="29"/>
      <c r="BE559" s="29"/>
      <c r="BF559" s="29"/>
      <c r="BG559" s="29"/>
      <c r="BH559" s="29"/>
    </row>
    <row r="560" spans="1:60" ht="14.25" customHeight="1" x14ac:dyDescent="0.3">
      <c r="A560" s="28"/>
      <c r="B560" s="29"/>
      <c r="C560" s="30"/>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29"/>
      <c r="AI560" s="29"/>
      <c r="AJ560" s="29"/>
      <c r="AK560" s="29"/>
      <c r="AL560" s="29"/>
      <c r="AM560" s="29"/>
      <c r="AN560" s="29"/>
      <c r="AO560" s="29"/>
      <c r="AP560" s="29"/>
      <c r="AQ560" s="29"/>
      <c r="AR560" s="29"/>
      <c r="AS560" s="29"/>
      <c r="AT560" s="29"/>
      <c r="AU560" s="29"/>
      <c r="AV560" s="29"/>
      <c r="AW560" s="29"/>
      <c r="AX560" s="29"/>
      <c r="AY560" s="29"/>
      <c r="AZ560" s="29"/>
      <c r="BA560" s="29"/>
      <c r="BB560" s="29"/>
      <c r="BC560" s="29"/>
      <c r="BD560" s="29"/>
      <c r="BE560" s="29"/>
      <c r="BF560" s="29"/>
      <c r="BG560" s="29"/>
      <c r="BH560" s="29"/>
    </row>
    <row r="561" spans="1:60" ht="14.25" customHeight="1" x14ac:dyDescent="0.3">
      <c r="A561" s="28"/>
      <c r="B561" s="29"/>
      <c r="C561" s="30"/>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c r="AO561" s="29"/>
      <c r="AP561" s="29"/>
      <c r="AQ561" s="29"/>
      <c r="AR561" s="29"/>
      <c r="AS561" s="29"/>
      <c r="AT561" s="29"/>
      <c r="AU561" s="29"/>
      <c r="AV561" s="29"/>
      <c r="AW561" s="29"/>
      <c r="AX561" s="29"/>
      <c r="AY561" s="29"/>
      <c r="AZ561" s="29"/>
      <c r="BA561" s="29"/>
      <c r="BB561" s="29"/>
      <c r="BC561" s="29"/>
      <c r="BD561" s="29"/>
      <c r="BE561" s="29"/>
      <c r="BF561" s="29"/>
      <c r="BG561" s="29"/>
      <c r="BH561" s="29"/>
    </row>
    <row r="562" spans="1:60" ht="14.25" customHeight="1" x14ac:dyDescent="0.3">
      <c r="A562" s="28"/>
      <c r="B562" s="29"/>
      <c r="C562" s="30"/>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29"/>
      <c r="AI562" s="29"/>
      <c r="AJ562" s="29"/>
      <c r="AK562" s="29"/>
      <c r="AL562" s="29"/>
      <c r="AM562" s="29"/>
      <c r="AN562" s="29"/>
      <c r="AO562" s="29"/>
      <c r="AP562" s="29"/>
      <c r="AQ562" s="29"/>
      <c r="AR562" s="29"/>
      <c r="AS562" s="29"/>
      <c r="AT562" s="29"/>
      <c r="AU562" s="29"/>
      <c r="AV562" s="29"/>
      <c r="AW562" s="29"/>
      <c r="AX562" s="29"/>
      <c r="AY562" s="29"/>
      <c r="AZ562" s="29"/>
      <c r="BA562" s="29"/>
      <c r="BB562" s="29"/>
      <c r="BC562" s="29"/>
      <c r="BD562" s="29"/>
      <c r="BE562" s="29"/>
      <c r="BF562" s="29"/>
      <c r="BG562" s="29"/>
      <c r="BH562" s="29"/>
    </row>
    <row r="563" spans="1:60" ht="14.25" customHeight="1" x14ac:dyDescent="0.3">
      <c r="A563" s="28"/>
      <c r="B563" s="29"/>
      <c r="C563" s="30"/>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c r="AR563" s="29"/>
      <c r="AS563" s="29"/>
      <c r="AT563" s="29"/>
      <c r="AU563" s="29"/>
      <c r="AV563" s="29"/>
      <c r="AW563" s="29"/>
      <c r="AX563" s="29"/>
      <c r="AY563" s="29"/>
      <c r="AZ563" s="29"/>
      <c r="BA563" s="29"/>
      <c r="BB563" s="29"/>
      <c r="BC563" s="29"/>
      <c r="BD563" s="29"/>
      <c r="BE563" s="29"/>
      <c r="BF563" s="29"/>
      <c r="BG563" s="29"/>
      <c r="BH563" s="29"/>
    </row>
    <row r="564" spans="1:60" ht="14.25" customHeight="1" x14ac:dyDescent="0.3">
      <c r="A564" s="28"/>
      <c r="B564" s="29"/>
      <c r="C564" s="30"/>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c r="AN564" s="29"/>
      <c r="AO564" s="29"/>
      <c r="AP564" s="29"/>
      <c r="AQ564" s="29"/>
      <c r="AR564" s="29"/>
      <c r="AS564" s="29"/>
      <c r="AT564" s="29"/>
      <c r="AU564" s="29"/>
      <c r="AV564" s="29"/>
      <c r="AW564" s="29"/>
      <c r="AX564" s="29"/>
      <c r="AY564" s="29"/>
      <c r="AZ564" s="29"/>
      <c r="BA564" s="29"/>
      <c r="BB564" s="29"/>
      <c r="BC564" s="29"/>
      <c r="BD564" s="29"/>
      <c r="BE564" s="29"/>
      <c r="BF564" s="29"/>
      <c r="BG564" s="29"/>
      <c r="BH564" s="29"/>
    </row>
    <row r="565" spans="1:60" ht="14.25" customHeight="1" x14ac:dyDescent="0.3">
      <c r="A565" s="28"/>
      <c r="B565" s="29"/>
      <c r="C565" s="30"/>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c r="AT565" s="29"/>
      <c r="AU565" s="29"/>
      <c r="AV565" s="29"/>
      <c r="AW565" s="29"/>
      <c r="AX565" s="29"/>
      <c r="AY565" s="29"/>
      <c r="AZ565" s="29"/>
      <c r="BA565" s="29"/>
      <c r="BB565" s="29"/>
      <c r="BC565" s="29"/>
      <c r="BD565" s="29"/>
      <c r="BE565" s="29"/>
      <c r="BF565" s="29"/>
      <c r="BG565" s="29"/>
      <c r="BH565" s="29"/>
    </row>
    <row r="566" spans="1:60" ht="14.25" customHeight="1" x14ac:dyDescent="0.3">
      <c r="A566" s="28"/>
      <c r="B566" s="29"/>
      <c r="C566" s="30"/>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c r="AN566" s="29"/>
      <c r="AO566" s="29"/>
      <c r="AP566" s="29"/>
      <c r="AQ566" s="29"/>
      <c r="AR566" s="29"/>
      <c r="AS566" s="29"/>
      <c r="AT566" s="29"/>
      <c r="AU566" s="29"/>
      <c r="AV566" s="29"/>
      <c r="AW566" s="29"/>
      <c r="AX566" s="29"/>
      <c r="AY566" s="29"/>
      <c r="AZ566" s="29"/>
      <c r="BA566" s="29"/>
      <c r="BB566" s="29"/>
      <c r="BC566" s="29"/>
      <c r="BD566" s="29"/>
      <c r="BE566" s="29"/>
      <c r="BF566" s="29"/>
      <c r="BG566" s="29"/>
      <c r="BH566" s="29"/>
    </row>
    <row r="567" spans="1:60" ht="14.25" customHeight="1" x14ac:dyDescent="0.3">
      <c r="A567" s="28"/>
      <c r="B567" s="29"/>
      <c r="C567" s="30"/>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c r="AT567" s="29"/>
      <c r="AU567" s="29"/>
      <c r="AV567" s="29"/>
      <c r="AW567" s="29"/>
      <c r="AX567" s="29"/>
      <c r="AY567" s="29"/>
      <c r="AZ567" s="29"/>
      <c r="BA567" s="29"/>
      <c r="BB567" s="29"/>
      <c r="BC567" s="29"/>
      <c r="BD567" s="29"/>
      <c r="BE567" s="29"/>
      <c r="BF567" s="29"/>
      <c r="BG567" s="29"/>
      <c r="BH567" s="29"/>
    </row>
    <row r="568" spans="1:60" ht="14.25" customHeight="1" x14ac:dyDescent="0.3">
      <c r="A568" s="28"/>
      <c r="B568" s="29"/>
      <c r="C568" s="30"/>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J568" s="29"/>
      <c r="AK568" s="29"/>
      <c r="AL568" s="29"/>
      <c r="AM568" s="29"/>
      <c r="AN568" s="29"/>
      <c r="AO568" s="29"/>
      <c r="AP568" s="29"/>
      <c r="AQ568" s="29"/>
      <c r="AR568" s="29"/>
      <c r="AS568" s="29"/>
      <c r="AT568" s="29"/>
      <c r="AU568" s="29"/>
      <c r="AV568" s="29"/>
      <c r="AW568" s="29"/>
      <c r="AX568" s="29"/>
      <c r="AY568" s="29"/>
      <c r="AZ568" s="29"/>
      <c r="BA568" s="29"/>
      <c r="BB568" s="29"/>
      <c r="BC568" s="29"/>
      <c r="BD568" s="29"/>
      <c r="BE568" s="29"/>
      <c r="BF568" s="29"/>
      <c r="BG568" s="29"/>
      <c r="BH568" s="29"/>
    </row>
    <row r="569" spans="1:60" ht="14.25" customHeight="1" x14ac:dyDescent="0.3">
      <c r="A569" s="28"/>
      <c r="B569" s="29"/>
      <c r="C569" s="30"/>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c r="AT569" s="29"/>
      <c r="AU569" s="29"/>
      <c r="AV569" s="29"/>
      <c r="AW569" s="29"/>
      <c r="AX569" s="29"/>
      <c r="AY569" s="29"/>
      <c r="AZ569" s="29"/>
      <c r="BA569" s="29"/>
      <c r="BB569" s="29"/>
      <c r="BC569" s="29"/>
      <c r="BD569" s="29"/>
      <c r="BE569" s="29"/>
      <c r="BF569" s="29"/>
      <c r="BG569" s="29"/>
      <c r="BH569" s="29"/>
    </row>
    <row r="570" spans="1:60" ht="14.25" customHeight="1" x14ac:dyDescent="0.3">
      <c r="A570" s="28"/>
      <c r="B570" s="29"/>
      <c r="C570" s="30"/>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J570" s="29"/>
      <c r="AK570" s="29"/>
      <c r="AL570" s="29"/>
      <c r="AM570" s="29"/>
      <c r="AN570" s="29"/>
      <c r="AO570" s="29"/>
      <c r="AP570" s="29"/>
      <c r="AQ570" s="29"/>
      <c r="AR570" s="29"/>
      <c r="AS570" s="29"/>
      <c r="AT570" s="29"/>
      <c r="AU570" s="29"/>
      <c r="AV570" s="29"/>
      <c r="AW570" s="29"/>
      <c r="AX570" s="29"/>
      <c r="AY570" s="29"/>
      <c r="AZ570" s="29"/>
      <c r="BA570" s="29"/>
      <c r="BB570" s="29"/>
      <c r="BC570" s="29"/>
      <c r="BD570" s="29"/>
      <c r="BE570" s="29"/>
      <c r="BF570" s="29"/>
      <c r="BG570" s="29"/>
      <c r="BH570" s="29"/>
    </row>
    <row r="571" spans="1:60" ht="14.25" customHeight="1" x14ac:dyDescent="0.3">
      <c r="A571" s="28"/>
      <c r="B571" s="29"/>
      <c r="C571" s="30"/>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c r="AT571" s="29"/>
      <c r="AU571" s="29"/>
      <c r="AV571" s="29"/>
      <c r="AW571" s="29"/>
      <c r="AX571" s="29"/>
      <c r="AY571" s="29"/>
      <c r="AZ571" s="29"/>
      <c r="BA571" s="29"/>
      <c r="BB571" s="29"/>
      <c r="BC571" s="29"/>
      <c r="BD571" s="29"/>
      <c r="BE571" s="29"/>
      <c r="BF571" s="29"/>
      <c r="BG571" s="29"/>
      <c r="BH571" s="29"/>
    </row>
    <row r="572" spans="1:60" ht="14.25" customHeight="1" x14ac:dyDescent="0.3">
      <c r="A572" s="28"/>
      <c r="B572" s="29"/>
      <c r="C572" s="30"/>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29"/>
      <c r="AI572" s="29"/>
      <c r="AJ572" s="29"/>
      <c r="AK572" s="29"/>
      <c r="AL572" s="29"/>
      <c r="AM572" s="29"/>
      <c r="AN572" s="29"/>
      <c r="AO572" s="29"/>
      <c r="AP572" s="29"/>
      <c r="AQ572" s="29"/>
      <c r="AR572" s="29"/>
      <c r="AS572" s="29"/>
      <c r="AT572" s="29"/>
      <c r="AU572" s="29"/>
      <c r="AV572" s="29"/>
      <c r="AW572" s="29"/>
      <c r="AX572" s="29"/>
      <c r="AY572" s="29"/>
      <c r="AZ572" s="29"/>
      <c r="BA572" s="29"/>
      <c r="BB572" s="29"/>
      <c r="BC572" s="29"/>
      <c r="BD572" s="29"/>
      <c r="BE572" s="29"/>
      <c r="BF572" s="29"/>
      <c r="BG572" s="29"/>
      <c r="BH572" s="29"/>
    </row>
    <row r="573" spans="1:60" ht="14.25" customHeight="1" x14ac:dyDescent="0.3">
      <c r="A573" s="28"/>
      <c r="B573" s="29"/>
      <c r="C573" s="30"/>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J573" s="29"/>
      <c r="AK573" s="29"/>
      <c r="AL573" s="29"/>
      <c r="AM573" s="29"/>
      <c r="AN573" s="29"/>
      <c r="AO573" s="29"/>
      <c r="AP573" s="29"/>
      <c r="AQ573" s="29"/>
      <c r="AR573" s="29"/>
      <c r="AS573" s="29"/>
      <c r="AT573" s="29"/>
      <c r="AU573" s="29"/>
      <c r="AV573" s="29"/>
      <c r="AW573" s="29"/>
      <c r="AX573" s="29"/>
      <c r="AY573" s="29"/>
      <c r="AZ573" s="29"/>
      <c r="BA573" s="29"/>
      <c r="BB573" s="29"/>
      <c r="BC573" s="29"/>
      <c r="BD573" s="29"/>
      <c r="BE573" s="29"/>
      <c r="BF573" s="29"/>
      <c r="BG573" s="29"/>
      <c r="BH573" s="29"/>
    </row>
    <row r="574" spans="1:60" ht="14.25" customHeight="1" x14ac:dyDescent="0.3">
      <c r="A574" s="28"/>
      <c r="B574" s="29"/>
      <c r="C574" s="30"/>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c r="AG574" s="29"/>
      <c r="AH574" s="29"/>
      <c r="AI574" s="29"/>
      <c r="AJ574" s="29"/>
      <c r="AK574" s="29"/>
      <c r="AL574" s="29"/>
      <c r="AM574" s="29"/>
      <c r="AN574" s="29"/>
      <c r="AO574" s="29"/>
      <c r="AP574" s="29"/>
      <c r="AQ574" s="29"/>
      <c r="AR574" s="29"/>
      <c r="AS574" s="29"/>
      <c r="AT574" s="29"/>
      <c r="AU574" s="29"/>
      <c r="AV574" s="29"/>
      <c r="AW574" s="29"/>
      <c r="AX574" s="29"/>
      <c r="AY574" s="29"/>
      <c r="AZ574" s="29"/>
      <c r="BA574" s="29"/>
      <c r="BB574" s="29"/>
      <c r="BC574" s="29"/>
      <c r="BD574" s="29"/>
      <c r="BE574" s="29"/>
      <c r="BF574" s="29"/>
      <c r="BG574" s="29"/>
      <c r="BH574" s="29"/>
    </row>
    <row r="575" spans="1:60" ht="14.25" customHeight="1" x14ac:dyDescent="0.3">
      <c r="A575" s="28"/>
      <c r="B575" s="29"/>
      <c r="C575" s="30"/>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c r="AV575" s="29"/>
      <c r="AW575" s="29"/>
      <c r="AX575" s="29"/>
      <c r="AY575" s="29"/>
      <c r="AZ575" s="29"/>
      <c r="BA575" s="29"/>
      <c r="BB575" s="29"/>
      <c r="BC575" s="29"/>
      <c r="BD575" s="29"/>
      <c r="BE575" s="29"/>
      <c r="BF575" s="29"/>
      <c r="BG575" s="29"/>
      <c r="BH575" s="29"/>
    </row>
    <row r="576" spans="1:60" ht="14.25" customHeight="1" x14ac:dyDescent="0.3">
      <c r="A576" s="28"/>
      <c r="B576" s="29"/>
      <c r="C576" s="30"/>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29"/>
      <c r="AI576" s="29"/>
      <c r="AJ576" s="29"/>
      <c r="AK576" s="29"/>
      <c r="AL576" s="29"/>
      <c r="AM576" s="29"/>
      <c r="AN576" s="29"/>
      <c r="AO576" s="29"/>
      <c r="AP576" s="29"/>
      <c r="AQ576" s="29"/>
      <c r="AR576" s="29"/>
      <c r="AS576" s="29"/>
      <c r="AT576" s="29"/>
      <c r="AU576" s="29"/>
      <c r="AV576" s="29"/>
      <c r="AW576" s="29"/>
      <c r="AX576" s="29"/>
      <c r="AY576" s="29"/>
      <c r="AZ576" s="29"/>
      <c r="BA576" s="29"/>
      <c r="BB576" s="29"/>
      <c r="BC576" s="29"/>
      <c r="BD576" s="29"/>
      <c r="BE576" s="29"/>
      <c r="BF576" s="29"/>
      <c r="BG576" s="29"/>
      <c r="BH576" s="29"/>
    </row>
    <row r="577" spans="1:60" ht="14.25" customHeight="1" x14ac:dyDescent="0.3">
      <c r="A577" s="28"/>
      <c r="B577" s="29"/>
      <c r="C577" s="30"/>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c r="AR577" s="29"/>
      <c r="AS577" s="29"/>
      <c r="AT577" s="29"/>
      <c r="AU577" s="29"/>
      <c r="AV577" s="29"/>
      <c r="AW577" s="29"/>
      <c r="AX577" s="29"/>
      <c r="AY577" s="29"/>
      <c r="AZ577" s="29"/>
      <c r="BA577" s="29"/>
      <c r="BB577" s="29"/>
      <c r="BC577" s="29"/>
      <c r="BD577" s="29"/>
      <c r="BE577" s="29"/>
      <c r="BF577" s="29"/>
      <c r="BG577" s="29"/>
      <c r="BH577" s="29"/>
    </row>
    <row r="578" spans="1:60" ht="14.25" customHeight="1" x14ac:dyDescent="0.3">
      <c r="A578" s="28"/>
      <c r="B578" s="29"/>
      <c r="C578" s="30"/>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c r="AH578" s="29"/>
      <c r="AI578" s="29"/>
      <c r="AJ578" s="29"/>
      <c r="AK578" s="29"/>
      <c r="AL578" s="29"/>
      <c r="AM578" s="29"/>
      <c r="AN578" s="29"/>
      <c r="AO578" s="29"/>
      <c r="AP578" s="29"/>
      <c r="AQ578" s="29"/>
      <c r="AR578" s="29"/>
      <c r="AS578" s="29"/>
      <c r="AT578" s="29"/>
      <c r="AU578" s="29"/>
      <c r="AV578" s="29"/>
      <c r="AW578" s="29"/>
      <c r="AX578" s="29"/>
      <c r="AY578" s="29"/>
      <c r="AZ578" s="29"/>
      <c r="BA578" s="29"/>
      <c r="BB578" s="29"/>
      <c r="BC578" s="29"/>
      <c r="BD578" s="29"/>
      <c r="BE578" s="29"/>
      <c r="BF578" s="29"/>
      <c r="BG578" s="29"/>
      <c r="BH578" s="29"/>
    </row>
    <row r="579" spans="1:60" ht="14.25" customHeight="1" x14ac:dyDescent="0.3">
      <c r="A579" s="28"/>
      <c r="B579" s="29"/>
      <c r="C579" s="30"/>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c r="AR579" s="29"/>
      <c r="AS579" s="29"/>
      <c r="AT579" s="29"/>
      <c r="AU579" s="29"/>
      <c r="AV579" s="29"/>
      <c r="AW579" s="29"/>
      <c r="AX579" s="29"/>
      <c r="AY579" s="29"/>
      <c r="AZ579" s="29"/>
      <c r="BA579" s="29"/>
      <c r="BB579" s="29"/>
      <c r="BC579" s="29"/>
      <c r="BD579" s="29"/>
      <c r="BE579" s="29"/>
      <c r="BF579" s="29"/>
      <c r="BG579" s="29"/>
      <c r="BH579" s="29"/>
    </row>
    <row r="580" spans="1:60" ht="14.25" customHeight="1" x14ac:dyDescent="0.3">
      <c r="A580" s="28"/>
      <c r="B580" s="29"/>
      <c r="C580" s="30"/>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c r="AH580" s="29"/>
      <c r="AI580" s="29"/>
      <c r="AJ580" s="29"/>
      <c r="AK580" s="29"/>
      <c r="AL580" s="29"/>
      <c r="AM580" s="29"/>
      <c r="AN580" s="29"/>
      <c r="AO580" s="29"/>
      <c r="AP580" s="29"/>
      <c r="AQ580" s="29"/>
      <c r="AR580" s="29"/>
      <c r="AS580" s="29"/>
      <c r="AT580" s="29"/>
      <c r="AU580" s="29"/>
      <c r="AV580" s="29"/>
      <c r="AW580" s="29"/>
      <c r="AX580" s="29"/>
      <c r="AY580" s="29"/>
      <c r="AZ580" s="29"/>
      <c r="BA580" s="29"/>
      <c r="BB580" s="29"/>
      <c r="BC580" s="29"/>
      <c r="BD580" s="29"/>
      <c r="BE580" s="29"/>
      <c r="BF580" s="29"/>
      <c r="BG580" s="29"/>
      <c r="BH580" s="29"/>
    </row>
    <row r="581" spans="1:60" ht="14.25" customHeight="1" x14ac:dyDescent="0.3">
      <c r="A581" s="28"/>
      <c r="B581" s="29"/>
      <c r="C581" s="30"/>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c r="AN581" s="29"/>
      <c r="AO581" s="29"/>
      <c r="AP581" s="29"/>
      <c r="AQ581" s="29"/>
      <c r="AR581" s="29"/>
      <c r="AS581" s="29"/>
      <c r="AT581" s="29"/>
      <c r="AU581" s="29"/>
      <c r="AV581" s="29"/>
      <c r="AW581" s="29"/>
      <c r="AX581" s="29"/>
      <c r="AY581" s="29"/>
      <c r="AZ581" s="29"/>
      <c r="BA581" s="29"/>
      <c r="BB581" s="29"/>
      <c r="BC581" s="29"/>
      <c r="BD581" s="29"/>
      <c r="BE581" s="29"/>
      <c r="BF581" s="29"/>
      <c r="BG581" s="29"/>
      <c r="BH581" s="29"/>
    </row>
    <row r="582" spans="1:60" ht="14.25" customHeight="1" x14ac:dyDescent="0.3">
      <c r="A582" s="28"/>
      <c r="B582" s="29"/>
      <c r="C582" s="30"/>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c r="AH582" s="29"/>
      <c r="AI582" s="29"/>
      <c r="AJ582" s="29"/>
      <c r="AK582" s="29"/>
      <c r="AL582" s="29"/>
      <c r="AM582" s="29"/>
      <c r="AN582" s="29"/>
      <c r="AO582" s="29"/>
      <c r="AP582" s="29"/>
      <c r="AQ582" s="29"/>
      <c r="AR582" s="29"/>
      <c r="AS582" s="29"/>
      <c r="AT582" s="29"/>
      <c r="AU582" s="29"/>
      <c r="AV582" s="29"/>
      <c r="AW582" s="29"/>
      <c r="AX582" s="29"/>
      <c r="AY582" s="29"/>
      <c r="AZ582" s="29"/>
      <c r="BA582" s="29"/>
      <c r="BB582" s="29"/>
      <c r="BC582" s="29"/>
      <c r="BD582" s="29"/>
      <c r="BE582" s="29"/>
      <c r="BF582" s="29"/>
      <c r="BG582" s="29"/>
      <c r="BH582" s="29"/>
    </row>
    <row r="583" spans="1:60" ht="14.25" customHeight="1" x14ac:dyDescent="0.3">
      <c r="A583" s="28"/>
      <c r="B583" s="29"/>
      <c r="C583" s="30"/>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c r="AN583" s="29"/>
      <c r="AO583" s="29"/>
      <c r="AP583" s="29"/>
      <c r="AQ583" s="29"/>
      <c r="AR583" s="29"/>
      <c r="AS583" s="29"/>
      <c r="AT583" s="29"/>
      <c r="AU583" s="29"/>
      <c r="AV583" s="29"/>
      <c r="AW583" s="29"/>
      <c r="AX583" s="29"/>
      <c r="AY583" s="29"/>
      <c r="AZ583" s="29"/>
      <c r="BA583" s="29"/>
      <c r="BB583" s="29"/>
      <c r="BC583" s="29"/>
      <c r="BD583" s="29"/>
      <c r="BE583" s="29"/>
      <c r="BF583" s="29"/>
      <c r="BG583" s="29"/>
      <c r="BH583" s="29"/>
    </row>
    <row r="584" spans="1:60" ht="14.25" customHeight="1" x14ac:dyDescent="0.3">
      <c r="A584" s="28"/>
      <c r="B584" s="29"/>
      <c r="C584" s="30"/>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c r="AH584" s="29"/>
      <c r="AI584" s="29"/>
      <c r="AJ584" s="29"/>
      <c r="AK584" s="29"/>
      <c r="AL584" s="29"/>
      <c r="AM584" s="29"/>
      <c r="AN584" s="29"/>
      <c r="AO584" s="29"/>
      <c r="AP584" s="29"/>
      <c r="AQ584" s="29"/>
      <c r="AR584" s="29"/>
      <c r="AS584" s="29"/>
      <c r="AT584" s="29"/>
      <c r="AU584" s="29"/>
      <c r="AV584" s="29"/>
      <c r="AW584" s="29"/>
      <c r="AX584" s="29"/>
      <c r="AY584" s="29"/>
      <c r="AZ584" s="29"/>
      <c r="BA584" s="29"/>
      <c r="BB584" s="29"/>
      <c r="BC584" s="29"/>
      <c r="BD584" s="29"/>
      <c r="BE584" s="29"/>
      <c r="BF584" s="29"/>
      <c r="BG584" s="29"/>
      <c r="BH584" s="29"/>
    </row>
    <row r="585" spans="1:60" ht="14.25" customHeight="1" x14ac:dyDescent="0.3">
      <c r="A585" s="28"/>
      <c r="B585" s="29"/>
      <c r="C585" s="30"/>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c r="AN585" s="29"/>
      <c r="AO585" s="29"/>
      <c r="AP585" s="29"/>
      <c r="AQ585" s="29"/>
      <c r="AR585" s="29"/>
      <c r="AS585" s="29"/>
      <c r="AT585" s="29"/>
      <c r="AU585" s="29"/>
      <c r="AV585" s="29"/>
      <c r="AW585" s="29"/>
      <c r="AX585" s="29"/>
      <c r="AY585" s="29"/>
      <c r="AZ585" s="29"/>
      <c r="BA585" s="29"/>
      <c r="BB585" s="29"/>
      <c r="BC585" s="29"/>
      <c r="BD585" s="29"/>
      <c r="BE585" s="29"/>
      <c r="BF585" s="29"/>
      <c r="BG585" s="29"/>
      <c r="BH585" s="29"/>
    </row>
    <row r="586" spans="1:60" ht="14.25" customHeight="1" x14ac:dyDescent="0.3">
      <c r="A586" s="28"/>
      <c r="B586" s="29"/>
      <c r="C586" s="30"/>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c r="AG586" s="29"/>
      <c r="AH586" s="29"/>
      <c r="AI586" s="29"/>
      <c r="AJ586" s="29"/>
      <c r="AK586" s="29"/>
      <c r="AL586" s="29"/>
      <c r="AM586" s="29"/>
      <c r="AN586" s="29"/>
      <c r="AO586" s="29"/>
      <c r="AP586" s="29"/>
      <c r="AQ586" s="29"/>
      <c r="AR586" s="29"/>
      <c r="AS586" s="29"/>
      <c r="AT586" s="29"/>
      <c r="AU586" s="29"/>
      <c r="AV586" s="29"/>
      <c r="AW586" s="29"/>
      <c r="AX586" s="29"/>
      <c r="AY586" s="29"/>
      <c r="AZ586" s="29"/>
      <c r="BA586" s="29"/>
      <c r="BB586" s="29"/>
      <c r="BC586" s="29"/>
      <c r="BD586" s="29"/>
      <c r="BE586" s="29"/>
      <c r="BF586" s="29"/>
      <c r="BG586" s="29"/>
      <c r="BH586" s="29"/>
    </row>
    <row r="587" spans="1:60" ht="14.25" customHeight="1" x14ac:dyDescent="0.3">
      <c r="A587" s="28"/>
      <c r="B587" s="29"/>
      <c r="C587" s="30"/>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J587" s="29"/>
      <c r="AK587" s="29"/>
      <c r="AL587" s="29"/>
      <c r="AM587" s="29"/>
      <c r="AN587" s="29"/>
      <c r="AO587" s="29"/>
      <c r="AP587" s="29"/>
      <c r="AQ587" s="29"/>
      <c r="AR587" s="29"/>
      <c r="AS587" s="29"/>
      <c r="AT587" s="29"/>
      <c r="AU587" s="29"/>
      <c r="AV587" s="29"/>
      <c r="AW587" s="29"/>
      <c r="AX587" s="29"/>
      <c r="AY587" s="29"/>
      <c r="AZ587" s="29"/>
      <c r="BA587" s="29"/>
      <c r="BB587" s="29"/>
      <c r="BC587" s="29"/>
      <c r="BD587" s="29"/>
      <c r="BE587" s="29"/>
      <c r="BF587" s="29"/>
      <c r="BG587" s="29"/>
      <c r="BH587" s="29"/>
    </row>
    <row r="588" spans="1:60" ht="14.25" customHeight="1" x14ac:dyDescent="0.3">
      <c r="A588" s="28"/>
      <c r="B588" s="29"/>
      <c r="C588" s="30"/>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c r="AF588" s="29"/>
      <c r="AG588" s="29"/>
      <c r="AH588" s="29"/>
      <c r="AI588" s="29"/>
      <c r="AJ588" s="29"/>
      <c r="AK588" s="29"/>
      <c r="AL588" s="29"/>
      <c r="AM588" s="29"/>
      <c r="AN588" s="29"/>
      <c r="AO588" s="29"/>
      <c r="AP588" s="29"/>
      <c r="AQ588" s="29"/>
      <c r="AR588" s="29"/>
      <c r="AS588" s="29"/>
      <c r="AT588" s="29"/>
      <c r="AU588" s="29"/>
      <c r="AV588" s="29"/>
      <c r="AW588" s="29"/>
      <c r="AX588" s="29"/>
      <c r="AY588" s="29"/>
      <c r="AZ588" s="29"/>
      <c r="BA588" s="29"/>
      <c r="BB588" s="29"/>
      <c r="BC588" s="29"/>
      <c r="BD588" s="29"/>
      <c r="BE588" s="29"/>
      <c r="BF588" s="29"/>
      <c r="BG588" s="29"/>
      <c r="BH588" s="29"/>
    </row>
    <row r="589" spans="1:60" ht="14.25" customHeight="1" x14ac:dyDescent="0.3">
      <c r="A589" s="28"/>
      <c r="B589" s="29"/>
      <c r="C589" s="30"/>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J589" s="29"/>
      <c r="AK589" s="29"/>
      <c r="AL589" s="29"/>
      <c r="AM589" s="29"/>
      <c r="AN589" s="29"/>
      <c r="AO589" s="29"/>
      <c r="AP589" s="29"/>
      <c r="AQ589" s="29"/>
      <c r="AR589" s="29"/>
      <c r="AS589" s="29"/>
      <c r="AT589" s="29"/>
      <c r="AU589" s="29"/>
      <c r="AV589" s="29"/>
      <c r="AW589" s="29"/>
      <c r="AX589" s="29"/>
      <c r="AY589" s="29"/>
      <c r="AZ589" s="29"/>
      <c r="BA589" s="29"/>
      <c r="BB589" s="29"/>
      <c r="BC589" s="29"/>
      <c r="BD589" s="29"/>
      <c r="BE589" s="29"/>
      <c r="BF589" s="29"/>
      <c r="BG589" s="29"/>
      <c r="BH589" s="29"/>
    </row>
    <row r="590" spans="1:60" ht="14.25" customHeight="1" x14ac:dyDescent="0.3">
      <c r="A590" s="28"/>
      <c r="B590" s="29"/>
      <c r="C590" s="30"/>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c r="AH590" s="29"/>
      <c r="AI590" s="29"/>
      <c r="AJ590" s="29"/>
      <c r="AK590" s="29"/>
      <c r="AL590" s="29"/>
      <c r="AM590" s="29"/>
      <c r="AN590" s="29"/>
      <c r="AO590" s="29"/>
      <c r="AP590" s="29"/>
      <c r="AQ590" s="29"/>
      <c r="AR590" s="29"/>
      <c r="AS590" s="29"/>
      <c r="AT590" s="29"/>
      <c r="AU590" s="29"/>
      <c r="AV590" s="29"/>
      <c r="AW590" s="29"/>
      <c r="AX590" s="29"/>
      <c r="AY590" s="29"/>
      <c r="AZ590" s="29"/>
      <c r="BA590" s="29"/>
      <c r="BB590" s="29"/>
      <c r="BC590" s="29"/>
      <c r="BD590" s="29"/>
      <c r="BE590" s="29"/>
      <c r="BF590" s="29"/>
      <c r="BG590" s="29"/>
      <c r="BH590" s="29"/>
    </row>
    <row r="591" spans="1:60" ht="14.25" customHeight="1" x14ac:dyDescent="0.3">
      <c r="A591" s="28"/>
      <c r="B591" s="29"/>
      <c r="C591" s="30"/>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c r="AN591" s="29"/>
      <c r="AO591" s="29"/>
      <c r="AP591" s="29"/>
      <c r="AQ591" s="29"/>
      <c r="AR591" s="29"/>
      <c r="AS591" s="29"/>
      <c r="AT591" s="29"/>
      <c r="AU591" s="29"/>
      <c r="AV591" s="29"/>
      <c r="AW591" s="29"/>
      <c r="AX591" s="29"/>
      <c r="AY591" s="29"/>
      <c r="AZ591" s="29"/>
      <c r="BA591" s="29"/>
      <c r="BB591" s="29"/>
      <c r="BC591" s="29"/>
      <c r="BD591" s="29"/>
      <c r="BE591" s="29"/>
      <c r="BF591" s="29"/>
      <c r="BG591" s="29"/>
      <c r="BH591" s="29"/>
    </row>
    <row r="592" spans="1:60" ht="14.25" customHeight="1" x14ac:dyDescent="0.3">
      <c r="A592" s="28"/>
      <c r="B592" s="29"/>
      <c r="C592" s="30"/>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c r="AH592" s="29"/>
      <c r="AI592" s="29"/>
      <c r="AJ592" s="29"/>
      <c r="AK592" s="29"/>
      <c r="AL592" s="29"/>
      <c r="AM592" s="29"/>
      <c r="AN592" s="29"/>
      <c r="AO592" s="29"/>
      <c r="AP592" s="29"/>
      <c r="AQ592" s="29"/>
      <c r="AR592" s="29"/>
      <c r="AS592" s="29"/>
      <c r="AT592" s="29"/>
      <c r="AU592" s="29"/>
      <c r="AV592" s="29"/>
      <c r="AW592" s="29"/>
      <c r="AX592" s="29"/>
      <c r="AY592" s="29"/>
      <c r="AZ592" s="29"/>
      <c r="BA592" s="29"/>
      <c r="BB592" s="29"/>
      <c r="BC592" s="29"/>
      <c r="BD592" s="29"/>
      <c r="BE592" s="29"/>
      <c r="BF592" s="29"/>
      <c r="BG592" s="29"/>
      <c r="BH592" s="29"/>
    </row>
    <row r="593" spans="1:60" ht="14.25" customHeight="1" x14ac:dyDescent="0.3">
      <c r="A593" s="28"/>
      <c r="B593" s="29"/>
      <c r="C593" s="30"/>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J593" s="29"/>
      <c r="AK593" s="29"/>
      <c r="AL593" s="29"/>
      <c r="AM593" s="29"/>
      <c r="AN593" s="29"/>
      <c r="AO593" s="29"/>
      <c r="AP593" s="29"/>
      <c r="AQ593" s="29"/>
      <c r="AR593" s="29"/>
      <c r="AS593" s="29"/>
      <c r="AT593" s="29"/>
      <c r="AU593" s="29"/>
      <c r="AV593" s="29"/>
      <c r="AW593" s="29"/>
      <c r="AX593" s="29"/>
      <c r="AY593" s="29"/>
      <c r="AZ593" s="29"/>
      <c r="BA593" s="29"/>
      <c r="BB593" s="29"/>
      <c r="BC593" s="29"/>
      <c r="BD593" s="29"/>
      <c r="BE593" s="29"/>
      <c r="BF593" s="29"/>
      <c r="BG593" s="29"/>
      <c r="BH593" s="29"/>
    </row>
    <row r="594" spans="1:60" ht="14.25" customHeight="1" x14ac:dyDescent="0.3">
      <c r="A594" s="28"/>
      <c r="B594" s="29"/>
      <c r="C594" s="30"/>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c r="AG594" s="29"/>
      <c r="AH594" s="29"/>
      <c r="AI594" s="29"/>
      <c r="AJ594" s="29"/>
      <c r="AK594" s="29"/>
      <c r="AL594" s="29"/>
      <c r="AM594" s="29"/>
      <c r="AN594" s="29"/>
      <c r="AO594" s="29"/>
      <c r="AP594" s="29"/>
      <c r="AQ594" s="29"/>
      <c r="AR594" s="29"/>
      <c r="AS594" s="29"/>
      <c r="AT594" s="29"/>
      <c r="AU594" s="29"/>
      <c r="AV594" s="29"/>
      <c r="AW594" s="29"/>
      <c r="AX594" s="29"/>
      <c r="AY594" s="29"/>
      <c r="AZ594" s="29"/>
      <c r="BA594" s="29"/>
      <c r="BB594" s="29"/>
      <c r="BC594" s="29"/>
      <c r="BD594" s="29"/>
      <c r="BE594" s="29"/>
      <c r="BF594" s="29"/>
      <c r="BG594" s="29"/>
      <c r="BH594" s="29"/>
    </row>
    <row r="595" spans="1:60" ht="14.25" customHeight="1" x14ac:dyDescent="0.3">
      <c r="A595" s="28"/>
      <c r="B595" s="29"/>
      <c r="C595" s="30"/>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c r="AN595" s="29"/>
      <c r="AO595" s="29"/>
      <c r="AP595" s="29"/>
      <c r="AQ595" s="29"/>
      <c r="AR595" s="29"/>
      <c r="AS595" s="29"/>
      <c r="AT595" s="29"/>
      <c r="AU595" s="29"/>
      <c r="AV595" s="29"/>
      <c r="AW595" s="29"/>
      <c r="AX595" s="29"/>
      <c r="AY595" s="29"/>
      <c r="AZ595" s="29"/>
      <c r="BA595" s="29"/>
      <c r="BB595" s="29"/>
      <c r="BC595" s="29"/>
      <c r="BD595" s="29"/>
      <c r="BE595" s="29"/>
      <c r="BF595" s="29"/>
      <c r="BG595" s="29"/>
      <c r="BH595" s="29"/>
    </row>
    <row r="596" spans="1:60" ht="14.25" customHeight="1" x14ac:dyDescent="0.3">
      <c r="A596" s="28"/>
      <c r="B596" s="29"/>
      <c r="C596" s="30"/>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c r="AH596" s="29"/>
      <c r="AI596" s="29"/>
      <c r="AJ596" s="29"/>
      <c r="AK596" s="29"/>
      <c r="AL596" s="29"/>
      <c r="AM596" s="29"/>
      <c r="AN596" s="29"/>
      <c r="AO596" s="29"/>
      <c r="AP596" s="29"/>
      <c r="AQ596" s="29"/>
      <c r="AR596" s="29"/>
      <c r="AS596" s="29"/>
      <c r="AT596" s="29"/>
      <c r="AU596" s="29"/>
      <c r="AV596" s="29"/>
      <c r="AW596" s="29"/>
      <c r="AX596" s="29"/>
      <c r="AY596" s="29"/>
      <c r="AZ596" s="29"/>
      <c r="BA596" s="29"/>
      <c r="BB596" s="29"/>
      <c r="BC596" s="29"/>
      <c r="BD596" s="29"/>
      <c r="BE596" s="29"/>
      <c r="BF596" s="29"/>
      <c r="BG596" s="29"/>
      <c r="BH596" s="29"/>
    </row>
    <row r="597" spans="1:60" ht="14.25" customHeight="1" x14ac:dyDescent="0.3">
      <c r="A597" s="28"/>
      <c r="B597" s="29"/>
      <c r="C597" s="30"/>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c r="AN597" s="29"/>
      <c r="AO597" s="29"/>
      <c r="AP597" s="29"/>
      <c r="AQ597" s="29"/>
      <c r="AR597" s="29"/>
      <c r="AS597" s="29"/>
      <c r="AT597" s="29"/>
      <c r="AU597" s="29"/>
      <c r="AV597" s="29"/>
      <c r="AW597" s="29"/>
      <c r="AX597" s="29"/>
      <c r="AY597" s="29"/>
      <c r="AZ597" s="29"/>
      <c r="BA597" s="29"/>
      <c r="BB597" s="29"/>
      <c r="BC597" s="29"/>
      <c r="BD597" s="29"/>
      <c r="BE597" s="29"/>
      <c r="BF597" s="29"/>
      <c r="BG597" s="29"/>
      <c r="BH597" s="29"/>
    </row>
    <row r="598" spans="1:60" ht="14.25" customHeight="1" x14ac:dyDescent="0.3">
      <c r="A598" s="28"/>
      <c r="B598" s="29"/>
      <c r="C598" s="30"/>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c r="AH598" s="29"/>
      <c r="AI598" s="29"/>
      <c r="AJ598" s="29"/>
      <c r="AK598" s="29"/>
      <c r="AL598" s="29"/>
      <c r="AM598" s="29"/>
      <c r="AN598" s="29"/>
      <c r="AO598" s="29"/>
      <c r="AP598" s="29"/>
      <c r="AQ598" s="29"/>
      <c r="AR598" s="29"/>
      <c r="AS598" s="29"/>
      <c r="AT598" s="29"/>
      <c r="AU598" s="29"/>
      <c r="AV598" s="29"/>
      <c r="AW598" s="29"/>
      <c r="AX598" s="29"/>
      <c r="AY598" s="29"/>
      <c r="AZ598" s="29"/>
      <c r="BA598" s="29"/>
      <c r="BB598" s="29"/>
      <c r="BC598" s="29"/>
      <c r="BD598" s="29"/>
      <c r="BE598" s="29"/>
      <c r="BF598" s="29"/>
      <c r="BG598" s="29"/>
      <c r="BH598" s="29"/>
    </row>
    <row r="599" spans="1:60" ht="14.25" customHeight="1" x14ac:dyDescent="0.3">
      <c r="A599" s="28"/>
      <c r="B599" s="29"/>
      <c r="C599" s="30"/>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c r="AN599" s="29"/>
      <c r="AO599" s="29"/>
      <c r="AP599" s="29"/>
      <c r="AQ599" s="29"/>
      <c r="AR599" s="29"/>
      <c r="AS599" s="29"/>
      <c r="AT599" s="29"/>
      <c r="AU599" s="29"/>
      <c r="AV599" s="29"/>
      <c r="AW599" s="29"/>
      <c r="AX599" s="29"/>
      <c r="AY599" s="29"/>
      <c r="AZ599" s="29"/>
      <c r="BA599" s="29"/>
      <c r="BB599" s="29"/>
      <c r="BC599" s="29"/>
      <c r="BD599" s="29"/>
      <c r="BE599" s="29"/>
      <c r="BF599" s="29"/>
      <c r="BG599" s="29"/>
      <c r="BH599" s="29"/>
    </row>
    <row r="600" spans="1:60" ht="14.25" customHeight="1" x14ac:dyDescent="0.3">
      <c r="A600" s="28"/>
      <c r="B600" s="29"/>
      <c r="C600" s="30"/>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c r="AH600" s="29"/>
      <c r="AI600" s="29"/>
      <c r="AJ600" s="29"/>
      <c r="AK600" s="29"/>
      <c r="AL600" s="29"/>
      <c r="AM600" s="29"/>
      <c r="AN600" s="29"/>
      <c r="AO600" s="29"/>
      <c r="AP600" s="29"/>
      <c r="AQ600" s="29"/>
      <c r="AR600" s="29"/>
      <c r="AS600" s="29"/>
      <c r="AT600" s="29"/>
      <c r="AU600" s="29"/>
      <c r="AV600" s="29"/>
      <c r="AW600" s="29"/>
      <c r="AX600" s="29"/>
      <c r="AY600" s="29"/>
      <c r="AZ600" s="29"/>
      <c r="BA600" s="29"/>
      <c r="BB600" s="29"/>
      <c r="BC600" s="29"/>
      <c r="BD600" s="29"/>
      <c r="BE600" s="29"/>
      <c r="BF600" s="29"/>
      <c r="BG600" s="29"/>
      <c r="BH600" s="29"/>
    </row>
    <row r="601" spans="1:60" ht="14.25" customHeight="1" x14ac:dyDescent="0.3">
      <c r="A601" s="28"/>
      <c r="B601" s="29"/>
      <c r="C601" s="30"/>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c r="AN601" s="29"/>
      <c r="AO601" s="29"/>
      <c r="AP601" s="29"/>
      <c r="AQ601" s="29"/>
      <c r="AR601" s="29"/>
      <c r="AS601" s="29"/>
      <c r="AT601" s="29"/>
      <c r="AU601" s="29"/>
      <c r="AV601" s="29"/>
      <c r="AW601" s="29"/>
      <c r="AX601" s="29"/>
      <c r="AY601" s="29"/>
      <c r="AZ601" s="29"/>
      <c r="BA601" s="29"/>
      <c r="BB601" s="29"/>
      <c r="BC601" s="29"/>
      <c r="BD601" s="29"/>
      <c r="BE601" s="29"/>
      <c r="BF601" s="29"/>
      <c r="BG601" s="29"/>
      <c r="BH601" s="29"/>
    </row>
    <row r="602" spans="1:60" ht="14.25" customHeight="1" x14ac:dyDescent="0.3">
      <c r="A602" s="28"/>
      <c r="B602" s="29"/>
      <c r="C602" s="30"/>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c r="AH602" s="29"/>
      <c r="AI602" s="29"/>
      <c r="AJ602" s="29"/>
      <c r="AK602" s="29"/>
      <c r="AL602" s="29"/>
      <c r="AM602" s="29"/>
      <c r="AN602" s="29"/>
      <c r="AO602" s="29"/>
      <c r="AP602" s="29"/>
      <c r="AQ602" s="29"/>
      <c r="AR602" s="29"/>
      <c r="AS602" s="29"/>
      <c r="AT602" s="29"/>
      <c r="AU602" s="29"/>
      <c r="AV602" s="29"/>
      <c r="AW602" s="29"/>
      <c r="AX602" s="29"/>
      <c r="AY602" s="29"/>
      <c r="AZ602" s="29"/>
      <c r="BA602" s="29"/>
      <c r="BB602" s="29"/>
      <c r="BC602" s="29"/>
      <c r="BD602" s="29"/>
      <c r="BE602" s="29"/>
      <c r="BF602" s="29"/>
      <c r="BG602" s="29"/>
      <c r="BH602" s="29"/>
    </row>
    <row r="603" spans="1:60" ht="14.25" customHeight="1" x14ac:dyDescent="0.3">
      <c r="A603" s="28"/>
      <c r="B603" s="29"/>
      <c r="C603" s="30"/>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c r="AN603" s="29"/>
      <c r="AO603" s="29"/>
      <c r="AP603" s="29"/>
      <c r="AQ603" s="29"/>
      <c r="AR603" s="29"/>
      <c r="AS603" s="29"/>
      <c r="AT603" s="29"/>
      <c r="AU603" s="29"/>
      <c r="AV603" s="29"/>
      <c r="AW603" s="29"/>
      <c r="AX603" s="29"/>
      <c r="AY603" s="29"/>
      <c r="AZ603" s="29"/>
      <c r="BA603" s="29"/>
      <c r="BB603" s="29"/>
      <c r="BC603" s="29"/>
      <c r="BD603" s="29"/>
      <c r="BE603" s="29"/>
      <c r="BF603" s="29"/>
      <c r="BG603" s="29"/>
      <c r="BH603" s="29"/>
    </row>
    <row r="604" spans="1:60" ht="14.25" customHeight="1" x14ac:dyDescent="0.3">
      <c r="A604" s="28"/>
      <c r="B604" s="29"/>
      <c r="C604" s="30"/>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c r="AG604" s="29"/>
      <c r="AH604" s="29"/>
      <c r="AI604" s="29"/>
      <c r="AJ604" s="29"/>
      <c r="AK604" s="29"/>
      <c r="AL604" s="29"/>
      <c r="AM604" s="29"/>
      <c r="AN604" s="29"/>
      <c r="AO604" s="29"/>
      <c r="AP604" s="29"/>
      <c r="AQ604" s="29"/>
      <c r="AR604" s="29"/>
      <c r="AS604" s="29"/>
      <c r="AT604" s="29"/>
      <c r="AU604" s="29"/>
      <c r="AV604" s="29"/>
      <c r="AW604" s="29"/>
      <c r="AX604" s="29"/>
      <c r="AY604" s="29"/>
      <c r="AZ604" s="29"/>
      <c r="BA604" s="29"/>
      <c r="BB604" s="29"/>
      <c r="BC604" s="29"/>
      <c r="BD604" s="29"/>
      <c r="BE604" s="29"/>
      <c r="BF604" s="29"/>
      <c r="BG604" s="29"/>
      <c r="BH604" s="29"/>
    </row>
    <row r="605" spans="1:60" ht="14.25" customHeight="1" x14ac:dyDescent="0.3">
      <c r="A605" s="28"/>
      <c r="B605" s="29"/>
      <c r="C605" s="30"/>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J605" s="29"/>
      <c r="AK605" s="29"/>
      <c r="AL605" s="29"/>
      <c r="AM605" s="29"/>
      <c r="AN605" s="29"/>
      <c r="AO605" s="29"/>
      <c r="AP605" s="29"/>
      <c r="AQ605" s="29"/>
      <c r="AR605" s="29"/>
      <c r="AS605" s="29"/>
      <c r="AT605" s="29"/>
      <c r="AU605" s="29"/>
      <c r="AV605" s="29"/>
      <c r="AW605" s="29"/>
      <c r="AX605" s="29"/>
      <c r="AY605" s="29"/>
      <c r="AZ605" s="29"/>
      <c r="BA605" s="29"/>
      <c r="BB605" s="29"/>
      <c r="BC605" s="29"/>
      <c r="BD605" s="29"/>
      <c r="BE605" s="29"/>
      <c r="BF605" s="29"/>
      <c r="BG605" s="29"/>
      <c r="BH605" s="29"/>
    </row>
    <row r="606" spans="1:60" ht="14.25" customHeight="1" x14ac:dyDescent="0.3">
      <c r="A606" s="28"/>
      <c r="B606" s="29"/>
      <c r="C606" s="30"/>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c r="AH606" s="29"/>
      <c r="AI606" s="29"/>
      <c r="AJ606" s="29"/>
      <c r="AK606" s="29"/>
      <c r="AL606" s="29"/>
      <c r="AM606" s="29"/>
      <c r="AN606" s="29"/>
      <c r="AO606" s="29"/>
      <c r="AP606" s="29"/>
      <c r="AQ606" s="29"/>
      <c r="AR606" s="29"/>
      <c r="AS606" s="29"/>
      <c r="AT606" s="29"/>
      <c r="AU606" s="29"/>
      <c r="AV606" s="29"/>
      <c r="AW606" s="29"/>
      <c r="AX606" s="29"/>
      <c r="AY606" s="29"/>
      <c r="AZ606" s="29"/>
      <c r="BA606" s="29"/>
      <c r="BB606" s="29"/>
      <c r="BC606" s="29"/>
      <c r="BD606" s="29"/>
      <c r="BE606" s="29"/>
      <c r="BF606" s="29"/>
      <c r="BG606" s="29"/>
      <c r="BH606" s="29"/>
    </row>
    <row r="607" spans="1:60" ht="14.25" customHeight="1" x14ac:dyDescent="0.3">
      <c r="A607" s="28"/>
      <c r="B607" s="29"/>
      <c r="C607" s="30"/>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c r="AN607" s="29"/>
      <c r="AO607" s="29"/>
      <c r="AP607" s="29"/>
      <c r="AQ607" s="29"/>
      <c r="AR607" s="29"/>
      <c r="AS607" s="29"/>
      <c r="AT607" s="29"/>
      <c r="AU607" s="29"/>
      <c r="AV607" s="29"/>
      <c r="AW607" s="29"/>
      <c r="AX607" s="29"/>
      <c r="AY607" s="29"/>
      <c r="AZ607" s="29"/>
      <c r="BA607" s="29"/>
      <c r="BB607" s="29"/>
      <c r="BC607" s="29"/>
      <c r="BD607" s="29"/>
      <c r="BE607" s="29"/>
      <c r="BF607" s="29"/>
      <c r="BG607" s="29"/>
      <c r="BH607" s="29"/>
    </row>
    <row r="608" spans="1:60" ht="14.25" customHeight="1" x14ac:dyDescent="0.3">
      <c r="A608" s="28"/>
      <c r="B608" s="29"/>
      <c r="C608" s="30"/>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c r="AH608" s="29"/>
      <c r="AI608" s="29"/>
      <c r="AJ608" s="29"/>
      <c r="AK608" s="29"/>
      <c r="AL608" s="29"/>
      <c r="AM608" s="29"/>
      <c r="AN608" s="29"/>
      <c r="AO608" s="29"/>
      <c r="AP608" s="29"/>
      <c r="AQ608" s="29"/>
      <c r="AR608" s="29"/>
      <c r="AS608" s="29"/>
      <c r="AT608" s="29"/>
      <c r="AU608" s="29"/>
      <c r="AV608" s="29"/>
      <c r="AW608" s="29"/>
      <c r="AX608" s="29"/>
      <c r="AY608" s="29"/>
      <c r="AZ608" s="29"/>
      <c r="BA608" s="29"/>
      <c r="BB608" s="29"/>
      <c r="BC608" s="29"/>
      <c r="BD608" s="29"/>
      <c r="BE608" s="29"/>
      <c r="BF608" s="29"/>
      <c r="BG608" s="29"/>
      <c r="BH608" s="29"/>
    </row>
    <row r="609" spans="1:60" ht="14.25" customHeight="1" x14ac:dyDescent="0.3">
      <c r="A609" s="28"/>
      <c r="B609" s="29"/>
      <c r="C609" s="30"/>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c r="AN609" s="29"/>
      <c r="AO609" s="29"/>
      <c r="AP609" s="29"/>
      <c r="AQ609" s="29"/>
      <c r="AR609" s="29"/>
      <c r="AS609" s="29"/>
      <c r="AT609" s="29"/>
      <c r="AU609" s="29"/>
      <c r="AV609" s="29"/>
      <c r="AW609" s="29"/>
      <c r="AX609" s="29"/>
      <c r="AY609" s="29"/>
      <c r="AZ609" s="29"/>
      <c r="BA609" s="29"/>
      <c r="BB609" s="29"/>
      <c r="BC609" s="29"/>
      <c r="BD609" s="29"/>
      <c r="BE609" s="29"/>
      <c r="BF609" s="29"/>
      <c r="BG609" s="29"/>
      <c r="BH609" s="29"/>
    </row>
    <row r="610" spans="1:60" ht="14.25" customHeight="1" x14ac:dyDescent="0.3">
      <c r="A610" s="28"/>
      <c r="B610" s="29"/>
      <c r="C610" s="30"/>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c r="AH610" s="29"/>
      <c r="AI610" s="29"/>
      <c r="AJ610" s="29"/>
      <c r="AK610" s="29"/>
      <c r="AL610" s="29"/>
      <c r="AM610" s="29"/>
      <c r="AN610" s="29"/>
      <c r="AO610" s="29"/>
      <c r="AP610" s="29"/>
      <c r="AQ610" s="29"/>
      <c r="AR610" s="29"/>
      <c r="AS610" s="29"/>
      <c r="AT610" s="29"/>
      <c r="AU610" s="29"/>
      <c r="AV610" s="29"/>
      <c r="AW610" s="29"/>
      <c r="AX610" s="29"/>
      <c r="AY610" s="29"/>
      <c r="AZ610" s="29"/>
      <c r="BA610" s="29"/>
      <c r="BB610" s="29"/>
      <c r="BC610" s="29"/>
      <c r="BD610" s="29"/>
      <c r="BE610" s="29"/>
      <c r="BF610" s="29"/>
      <c r="BG610" s="29"/>
      <c r="BH610" s="29"/>
    </row>
    <row r="611" spans="1:60" ht="14.25" customHeight="1" x14ac:dyDescent="0.3">
      <c r="A611" s="28"/>
      <c r="B611" s="29"/>
      <c r="C611" s="30"/>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c r="AN611" s="29"/>
      <c r="AO611" s="29"/>
      <c r="AP611" s="29"/>
      <c r="AQ611" s="29"/>
      <c r="AR611" s="29"/>
      <c r="AS611" s="29"/>
      <c r="AT611" s="29"/>
      <c r="AU611" s="29"/>
      <c r="AV611" s="29"/>
      <c r="AW611" s="29"/>
      <c r="AX611" s="29"/>
      <c r="AY611" s="29"/>
      <c r="AZ611" s="29"/>
      <c r="BA611" s="29"/>
      <c r="BB611" s="29"/>
      <c r="BC611" s="29"/>
      <c r="BD611" s="29"/>
      <c r="BE611" s="29"/>
      <c r="BF611" s="29"/>
      <c r="BG611" s="29"/>
      <c r="BH611" s="29"/>
    </row>
    <row r="612" spans="1:60" ht="14.25" customHeight="1" x14ac:dyDescent="0.3">
      <c r="A612" s="28"/>
      <c r="B612" s="29"/>
      <c r="C612" s="30"/>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c r="AH612" s="29"/>
      <c r="AI612" s="29"/>
      <c r="AJ612" s="29"/>
      <c r="AK612" s="29"/>
      <c r="AL612" s="29"/>
      <c r="AM612" s="29"/>
      <c r="AN612" s="29"/>
      <c r="AO612" s="29"/>
      <c r="AP612" s="29"/>
      <c r="AQ612" s="29"/>
      <c r="AR612" s="29"/>
      <c r="AS612" s="29"/>
      <c r="AT612" s="29"/>
      <c r="AU612" s="29"/>
      <c r="AV612" s="29"/>
      <c r="AW612" s="29"/>
      <c r="AX612" s="29"/>
      <c r="AY612" s="29"/>
      <c r="AZ612" s="29"/>
      <c r="BA612" s="29"/>
      <c r="BB612" s="29"/>
      <c r="BC612" s="29"/>
      <c r="BD612" s="29"/>
      <c r="BE612" s="29"/>
      <c r="BF612" s="29"/>
      <c r="BG612" s="29"/>
      <c r="BH612" s="29"/>
    </row>
    <row r="613" spans="1:60" ht="14.25" customHeight="1" x14ac:dyDescent="0.3">
      <c r="A613" s="28"/>
      <c r="B613" s="29"/>
      <c r="C613" s="30"/>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c r="AN613" s="29"/>
      <c r="AO613" s="29"/>
      <c r="AP613" s="29"/>
      <c r="AQ613" s="29"/>
      <c r="AR613" s="29"/>
      <c r="AS613" s="29"/>
      <c r="AT613" s="29"/>
      <c r="AU613" s="29"/>
      <c r="AV613" s="29"/>
      <c r="AW613" s="29"/>
      <c r="AX613" s="29"/>
      <c r="AY613" s="29"/>
      <c r="AZ613" s="29"/>
      <c r="BA613" s="29"/>
      <c r="BB613" s="29"/>
      <c r="BC613" s="29"/>
      <c r="BD613" s="29"/>
      <c r="BE613" s="29"/>
      <c r="BF613" s="29"/>
      <c r="BG613" s="29"/>
      <c r="BH613" s="29"/>
    </row>
    <row r="614" spans="1:60" ht="14.25" customHeight="1" x14ac:dyDescent="0.3">
      <c r="A614" s="28"/>
      <c r="B614" s="29"/>
      <c r="C614" s="30"/>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c r="AH614" s="29"/>
      <c r="AI614" s="29"/>
      <c r="AJ614" s="29"/>
      <c r="AK614" s="29"/>
      <c r="AL614" s="29"/>
      <c r="AM614" s="29"/>
      <c r="AN614" s="29"/>
      <c r="AO614" s="29"/>
      <c r="AP614" s="29"/>
      <c r="AQ614" s="29"/>
      <c r="AR614" s="29"/>
      <c r="AS614" s="29"/>
      <c r="AT614" s="29"/>
      <c r="AU614" s="29"/>
      <c r="AV614" s="29"/>
      <c r="AW614" s="29"/>
      <c r="AX614" s="29"/>
      <c r="AY614" s="29"/>
      <c r="AZ614" s="29"/>
      <c r="BA614" s="29"/>
      <c r="BB614" s="29"/>
      <c r="BC614" s="29"/>
      <c r="BD614" s="29"/>
      <c r="BE614" s="29"/>
      <c r="BF614" s="29"/>
      <c r="BG614" s="29"/>
      <c r="BH614" s="29"/>
    </row>
    <row r="615" spans="1:60" ht="14.25" customHeight="1" x14ac:dyDescent="0.3">
      <c r="A615" s="28"/>
      <c r="B615" s="29"/>
      <c r="C615" s="30"/>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J615" s="29"/>
      <c r="AK615" s="29"/>
      <c r="AL615" s="29"/>
      <c r="AM615" s="29"/>
      <c r="AN615" s="29"/>
      <c r="AO615" s="29"/>
      <c r="AP615" s="29"/>
      <c r="AQ615" s="29"/>
      <c r="AR615" s="29"/>
      <c r="AS615" s="29"/>
      <c r="AT615" s="29"/>
      <c r="AU615" s="29"/>
      <c r="AV615" s="29"/>
      <c r="AW615" s="29"/>
      <c r="AX615" s="29"/>
      <c r="AY615" s="29"/>
      <c r="AZ615" s="29"/>
      <c r="BA615" s="29"/>
      <c r="BB615" s="29"/>
      <c r="BC615" s="29"/>
      <c r="BD615" s="29"/>
      <c r="BE615" s="29"/>
      <c r="BF615" s="29"/>
      <c r="BG615" s="29"/>
      <c r="BH615" s="29"/>
    </row>
    <row r="616" spans="1:60" ht="14.25" customHeight="1" x14ac:dyDescent="0.3">
      <c r="A616" s="28"/>
      <c r="B616" s="29"/>
      <c r="C616" s="30"/>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c r="AG616" s="29"/>
      <c r="AH616" s="29"/>
      <c r="AI616" s="29"/>
      <c r="AJ616" s="29"/>
      <c r="AK616" s="29"/>
      <c r="AL616" s="29"/>
      <c r="AM616" s="29"/>
      <c r="AN616" s="29"/>
      <c r="AO616" s="29"/>
      <c r="AP616" s="29"/>
      <c r="AQ616" s="29"/>
      <c r="AR616" s="29"/>
      <c r="AS616" s="29"/>
      <c r="AT616" s="29"/>
      <c r="AU616" s="29"/>
      <c r="AV616" s="29"/>
      <c r="AW616" s="29"/>
      <c r="AX616" s="29"/>
      <c r="AY616" s="29"/>
      <c r="AZ616" s="29"/>
      <c r="BA616" s="29"/>
      <c r="BB616" s="29"/>
      <c r="BC616" s="29"/>
      <c r="BD616" s="29"/>
      <c r="BE616" s="29"/>
      <c r="BF616" s="29"/>
      <c r="BG616" s="29"/>
      <c r="BH616" s="29"/>
    </row>
    <row r="617" spans="1:60" ht="14.25" customHeight="1" x14ac:dyDescent="0.3">
      <c r="A617" s="28"/>
      <c r="B617" s="29"/>
      <c r="C617" s="30"/>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c r="AN617" s="29"/>
      <c r="AO617" s="29"/>
      <c r="AP617" s="29"/>
      <c r="AQ617" s="29"/>
      <c r="AR617" s="29"/>
      <c r="AS617" s="29"/>
      <c r="AT617" s="29"/>
      <c r="AU617" s="29"/>
      <c r="AV617" s="29"/>
      <c r="AW617" s="29"/>
      <c r="AX617" s="29"/>
      <c r="AY617" s="29"/>
      <c r="AZ617" s="29"/>
      <c r="BA617" s="29"/>
      <c r="BB617" s="29"/>
      <c r="BC617" s="29"/>
      <c r="BD617" s="29"/>
      <c r="BE617" s="29"/>
      <c r="BF617" s="29"/>
      <c r="BG617" s="29"/>
      <c r="BH617" s="29"/>
    </row>
    <row r="618" spans="1:60" ht="14.25" customHeight="1" x14ac:dyDescent="0.3">
      <c r="A618" s="28"/>
      <c r="B618" s="29"/>
      <c r="C618" s="30"/>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c r="AG618" s="29"/>
      <c r="AH618" s="29"/>
      <c r="AI618" s="29"/>
      <c r="AJ618" s="29"/>
      <c r="AK618" s="29"/>
      <c r="AL618" s="29"/>
      <c r="AM618" s="29"/>
      <c r="AN618" s="29"/>
      <c r="AO618" s="29"/>
      <c r="AP618" s="29"/>
      <c r="AQ618" s="29"/>
      <c r="AR618" s="29"/>
      <c r="AS618" s="29"/>
      <c r="AT618" s="29"/>
      <c r="AU618" s="29"/>
      <c r="AV618" s="29"/>
      <c r="AW618" s="29"/>
      <c r="AX618" s="29"/>
      <c r="AY618" s="29"/>
      <c r="AZ618" s="29"/>
      <c r="BA618" s="29"/>
      <c r="BB618" s="29"/>
      <c r="BC618" s="29"/>
      <c r="BD618" s="29"/>
      <c r="BE618" s="29"/>
      <c r="BF618" s="29"/>
      <c r="BG618" s="29"/>
      <c r="BH618" s="29"/>
    </row>
    <row r="619" spans="1:60" ht="14.25" customHeight="1" x14ac:dyDescent="0.3">
      <c r="A619" s="28"/>
      <c r="B619" s="29"/>
      <c r="C619" s="30"/>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c r="AN619" s="29"/>
      <c r="AO619" s="29"/>
      <c r="AP619" s="29"/>
      <c r="AQ619" s="29"/>
      <c r="AR619" s="29"/>
      <c r="AS619" s="29"/>
      <c r="AT619" s="29"/>
      <c r="AU619" s="29"/>
      <c r="AV619" s="29"/>
      <c r="AW619" s="29"/>
      <c r="AX619" s="29"/>
      <c r="AY619" s="29"/>
      <c r="AZ619" s="29"/>
      <c r="BA619" s="29"/>
      <c r="BB619" s="29"/>
      <c r="BC619" s="29"/>
      <c r="BD619" s="29"/>
      <c r="BE619" s="29"/>
      <c r="BF619" s="29"/>
      <c r="BG619" s="29"/>
      <c r="BH619" s="29"/>
    </row>
    <row r="620" spans="1:60" ht="14.25" customHeight="1" x14ac:dyDescent="0.3">
      <c r="A620" s="28"/>
      <c r="B620" s="29"/>
      <c r="C620" s="30"/>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c r="AH620" s="29"/>
      <c r="AI620" s="29"/>
      <c r="AJ620" s="29"/>
      <c r="AK620" s="29"/>
      <c r="AL620" s="29"/>
      <c r="AM620" s="29"/>
      <c r="AN620" s="29"/>
      <c r="AO620" s="29"/>
      <c r="AP620" s="29"/>
      <c r="AQ620" s="29"/>
      <c r="AR620" s="29"/>
      <c r="AS620" s="29"/>
      <c r="AT620" s="29"/>
      <c r="AU620" s="29"/>
      <c r="AV620" s="29"/>
      <c r="AW620" s="29"/>
      <c r="AX620" s="29"/>
      <c r="AY620" s="29"/>
      <c r="AZ620" s="29"/>
      <c r="BA620" s="29"/>
      <c r="BB620" s="29"/>
      <c r="BC620" s="29"/>
      <c r="BD620" s="29"/>
      <c r="BE620" s="29"/>
      <c r="BF620" s="29"/>
      <c r="BG620" s="29"/>
      <c r="BH620" s="29"/>
    </row>
    <row r="621" spans="1:60" ht="14.25" customHeight="1" x14ac:dyDescent="0.3">
      <c r="A621" s="28"/>
      <c r="B621" s="29"/>
      <c r="C621" s="30"/>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c r="AN621" s="29"/>
      <c r="AO621" s="29"/>
      <c r="AP621" s="29"/>
      <c r="AQ621" s="29"/>
      <c r="AR621" s="29"/>
      <c r="AS621" s="29"/>
      <c r="AT621" s="29"/>
      <c r="AU621" s="29"/>
      <c r="AV621" s="29"/>
      <c r="AW621" s="29"/>
      <c r="AX621" s="29"/>
      <c r="AY621" s="29"/>
      <c r="AZ621" s="29"/>
      <c r="BA621" s="29"/>
      <c r="BB621" s="29"/>
      <c r="BC621" s="29"/>
      <c r="BD621" s="29"/>
      <c r="BE621" s="29"/>
      <c r="BF621" s="29"/>
      <c r="BG621" s="29"/>
      <c r="BH621" s="29"/>
    </row>
    <row r="622" spans="1:60" ht="14.25" customHeight="1" x14ac:dyDescent="0.3">
      <c r="A622" s="28"/>
      <c r="B622" s="29"/>
      <c r="C622" s="30"/>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c r="AH622" s="29"/>
      <c r="AI622" s="29"/>
      <c r="AJ622" s="29"/>
      <c r="AK622" s="29"/>
      <c r="AL622" s="29"/>
      <c r="AM622" s="29"/>
      <c r="AN622" s="29"/>
      <c r="AO622" s="29"/>
      <c r="AP622" s="29"/>
      <c r="AQ622" s="29"/>
      <c r="AR622" s="29"/>
      <c r="AS622" s="29"/>
      <c r="AT622" s="29"/>
      <c r="AU622" s="29"/>
      <c r="AV622" s="29"/>
      <c r="AW622" s="29"/>
      <c r="AX622" s="29"/>
      <c r="AY622" s="29"/>
      <c r="AZ622" s="29"/>
      <c r="BA622" s="29"/>
      <c r="BB622" s="29"/>
      <c r="BC622" s="29"/>
      <c r="BD622" s="29"/>
      <c r="BE622" s="29"/>
      <c r="BF622" s="29"/>
      <c r="BG622" s="29"/>
      <c r="BH622" s="29"/>
    </row>
    <row r="623" spans="1:60" ht="14.25" customHeight="1" x14ac:dyDescent="0.3">
      <c r="A623" s="28"/>
      <c r="B623" s="29"/>
      <c r="C623" s="30"/>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J623" s="29"/>
      <c r="AK623" s="29"/>
      <c r="AL623" s="29"/>
      <c r="AM623" s="29"/>
      <c r="AN623" s="29"/>
      <c r="AO623" s="29"/>
      <c r="AP623" s="29"/>
      <c r="AQ623" s="29"/>
      <c r="AR623" s="29"/>
      <c r="AS623" s="29"/>
      <c r="AT623" s="29"/>
      <c r="AU623" s="29"/>
      <c r="AV623" s="29"/>
      <c r="AW623" s="29"/>
      <c r="AX623" s="29"/>
      <c r="AY623" s="29"/>
      <c r="AZ623" s="29"/>
      <c r="BA623" s="29"/>
      <c r="BB623" s="29"/>
      <c r="BC623" s="29"/>
      <c r="BD623" s="29"/>
      <c r="BE623" s="29"/>
      <c r="BF623" s="29"/>
      <c r="BG623" s="29"/>
      <c r="BH623" s="29"/>
    </row>
    <row r="624" spans="1:60" ht="14.25" customHeight="1" x14ac:dyDescent="0.3">
      <c r="A624" s="28"/>
      <c r="B624" s="29"/>
      <c r="C624" s="30"/>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c r="AG624" s="29"/>
      <c r="AH624" s="29"/>
      <c r="AI624" s="29"/>
      <c r="AJ624" s="29"/>
      <c r="AK624" s="29"/>
      <c r="AL624" s="29"/>
      <c r="AM624" s="29"/>
      <c r="AN624" s="29"/>
      <c r="AO624" s="29"/>
      <c r="AP624" s="29"/>
      <c r="AQ624" s="29"/>
      <c r="AR624" s="29"/>
      <c r="AS624" s="29"/>
      <c r="AT624" s="29"/>
      <c r="AU624" s="29"/>
      <c r="AV624" s="29"/>
      <c r="AW624" s="29"/>
      <c r="AX624" s="29"/>
      <c r="AY624" s="29"/>
      <c r="AZ624" s="29"/>
      <c r="BA624" s="29"/>
      <c r="BB624" s="29"/>
      <c r="BC624" s="29"/>
      <c r="BD624" s="29"/>
      <c r="BE624" s="29"/>
      <c r="BF624" s="29"/>
      <c r="BG624" s="29"/>
      <c r="BH624" s="29"/>
    </row>
    <row r="625" spans="1:60" ht="14.25" customHeight="1" x14ac:dyDescent="0.3">
      <c r="A625" s="28"/>
      <c r="B625" s="29"/>
      <c r="C625" s="30"/>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J625" s="29"/>
      <c r="AK625" s="29"/>
      <c r="AL625" s="29"/>
      <c r="AM625" s="29"/>
      <c r="AN625" s="29"/>
      <c r="AO625" s="29"/>
      <c r="AP625" s="29"/>
      <c r="AQ625" s="29"/>
      <c r="AR625" s="29"/>
      <c r="AS625" s="29"/>
      <c r="AT625" s="29"/>
      <c r="AU625" s="29"/>
      <c r="AV625" s="29"/>
      <c r="AW625" s="29"/>
      <c r="AX625" s="29"/>
      <c r="AY625" s="29"/>
      <c r="AZ625" s="29"/>
      <c r="BA625" s="29"/>
      <c r="BB625" s="29"/>
      <c r="BC625" s="29"/>
      <c r="BD625" s="29"/>
      <c r="BE625" s="29"/>
      <c r="BF625" s="29"/>
      <c r="BG625" s="29"/>
      <c r="BH625" s="29"/>
    </row>
    <row r="626" spans="1:60" ht="14.25" customHeight="1" x14ac:dyDescent="0.3">
      <c r="A626" s="28"/>
      <c r="B626" s="29"/>
      <c r="C626" s="30"/>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c r="AG626" s="29"/>
      <c r="AH626" s="29"/>
      <c r="AI626" s="29"/>
      <c r="AJ626" s="29"/>
      <c r="AK626" s="29"/>
      <c r="AL626" s="29"/>
      <c r="AM626" s="29"/>
      <c r="AN626" s="29"/>
      <c r="AO626" s="29"/>
      <c r="AP626" s="29"/>
      <c r="AQ626" s="29"/>
      <c r="AR626" s="29"/>
      <c r="AS626" s="29"/>
      <c r="AT626" s="29"/>
      <c r="AU626" s="29"/>
      <c r="AV626" s="29"/>
      <c r="AW626" s="29"/>
      <c r="AX626" s="29"/>
      <c r="AY626" s="29"/>
      <c r="AZ626" s="29"/>
      <c r="BA626" s="29"/>
      <c r="BB626" s="29"/>
      <c r="BC626" s="29"/>
      <c r="BD626" s="29"/>
      <c r="BE626" s="29"/>
      <c r="BF626" s="29"/>
      <c r="BG626" s="29"/>
      <c r="BH626" s="29"/>
    </row>
    <row r="627" spans="1:60" ht="14.25" customHeight="1" x14ac:dyDescent="0.3">
      <c r="A627" s="28"/>
      <c r="B627" s="29"/>
      <c r="C627" s="30"/>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J627" s="29"/>
      <c r="AK627" s="29"/>
      <c r="AL627" s="29"/>
      <c r="AM627" s="29"/>
      <c r="AN627" s="29"/>
      <c r="AO627" s="29"/>
      <c r="AP627" s="29"/>
      <c r="AQ627" s="29"/>
      <c r="AR627" s="29"/>
      <c r="AS627" s="29"/>
      <c r="AT627" s="29"/>
      <c r="AU627" s="29"/>
      <c r="AV627" s="29"/>
      <c r="AW627" s="29"/>
      <c r="AX627" s="29"/>
      <c r="AY627" s="29"/>
      <c r="AZ627" s="29"/>
      <c r="BA627" s="29"/>
      <c r="BB627" s="29"/>
      <c r="BC627" s="29"/>
      <c r="BD627" s="29"/>
      <c r="BE627" s="29"/>
      <c r="BF627" s="29"/>
      <c r="BG627" s="29"/>
      <c r="BH627" s="29"/>
    </row>
    <row r="628" spans="1:60" ht="14.25" customHeight="1" x14ac:dyDescent="0.3">
      <c r="A628" s="28"/>
      <c r="B628" s="29"/>
      <c r="C628" s="30"/>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c r="AG628" s="29"/>
      <c r="AH628" s="29"/>
      <c r="AI628" s="29"/>
      <c r="AJ628" s="29"/>
      <c r="AK628" s="29"/>
      <c r="AL628" s="29"/>
      <c r="AM628" s="29"/>
      <c r="AN628" s="29"/>
      <c r="AO628" s="29"/>
      <c r="AP628" s="29"/>
      <c r="AQ628" s="29"/>
      <c r="AR628" s="29"/>
      <c r="AS628" s="29"/>
      <c r="AT628" s="29"/>
      <c r="AU628" s="29"/>
      <c r="AV628" s="29"/>
      <c r="AW628" s="29"/>
      <c r="AX628" s="29"/>
      <c r="AY628" s="29"/>
      <c r="AZ628" s="29"/>
      <c r="BA628" s="29"/>
      <c r="BB628" s="29"/>
      <c r="BC628" s="29"/>
      <c r="BD628" s="29"/>
      <c r="BE628" s="29"/>
      <c r="BF628" s="29"/>
      <c r="BG628" s="29"/>
      <c r="BH628" s="29"/>
    </row>
    <row r="629" spans="1:60" ht="14.25" customHeight="1" x14ac:dyDescent="0.3">
      <c r="A629" s="28"/>
      <c r="B629" s="29"/>
      <c r="C629" s="30"/>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c r="AJ629" s="29"/>
      <c r="AK629" s="29"/>
      <c r="AL629" s="29"/>
      <c r="AM629" s="29"/>
      <c r="AN629" s="29"/>
      <c r="AO629" s="29"/>
      <c r="AP629" s="29"/>
      <c r="AQ629" s="29"/>
      <c r="AR629" s="29"/>
      <c r="AS629" s="29"/>
      <c r="AT629" s="29"/>
      <c r="AU629" s="29"/>
      <c r="AV629" s="29"/>
      <c r="AW629" s="29"/>
      <c r="AX629" s="29"/>
      <c r="AY629" s="29"/>
      <c r="AZ629" s="29"/>
      <c r="BA629" s="29"/>
      <c r="BB629" s="29"/>
      <c r="BC629" s="29"/>
      <c r="BD629" s="29"/>
      <c r="BE629" s="29"/>
      <c r="BF629" s="29"/>
      <c r="BG629" s="29"/>
      <c r="BH629" s="29"/>
    </row>
    <row r="630" spans="1:60" ht="14.25" customHeight="1" x14ac:dyDescent="0.3">
      <c r="A630" s="28"/>
      <c r="B630" s="29"/>
      <c r="C630" s="30"/>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c r="AG630" s="29"/>
      <c r="AH630" s="29"/>
      <c r="AI630" s="29"/>
      <c r="AJ630" s="29"/>
      <c r="AK630" s="29"/>
      <c r="AL630" s="29"/>
      <c r="AM630" s="29"/>
      <c r="AN630" s="29"/>
      <c r="AO630" s="29"/>
      <c r="AP630" s="29"/>
      <c r="AQ630" s="29"/>
      <c r="AR630" s="29"/>
      <c r="AS630" s="29"/>
      <c r="AT630" s="29"/>
      <c r="AU630" s="29"/>
      <c r="AV630" s="29"/>
      <c r="AW630" s="29"/>
      <c r="AX630" s="29"/>
      <c r="AY630" s="29"/>
      <c r="AZ630" s="29"/>
      <c r="BA630" s="29"/>
      <c r="BB630" s="29"/>
      <c r="BC630" s="29"/>
      <c r="BD630" s="29"/>
      <c r="BE630" s="29"/>
      <c r="BF630" s="29"/>
      <c r="BG630" s="29"/>
      <c r="BH630" s="29"/>
    </row>
    <row r="631" spans="1:60" ht="14.25" customHeight="1" x14ac:dyDescent="0.3">
      <c r="A631" s="28"/>
      <c r="B631" s="29"/>
      <c r="C631" s="30"/>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c r="AN631" s="29"/>
      <c r="AO631" s="29"/>
      <c r="AP631" s="29"/>
      <c r="AQ631" s="29"/>
      <c r="AR631" s="29"/>
      <c r="AS631" s="29"/>
      <c r="AT631" s="29"/>
      <c r="AU631" s="29"/>
      <c r="AV631" s="29"/>
      <c r="AW631" s="29"/>
      <c r="AX631" s="29"/>
      <c r="AY631" s="29"/>
      <c r="AZ631" s="29"/>
      <c r="BA631" s="29"/>
      <c r="BB631" s="29"/>
      <c r="BC631" s="29"/>
      <c r="BD631" s="29"/>
      <c r="BE631" s="29"/>
      <c r="BF631" s="29"/>
      <c r="BG631" s="29"/>
      <c r="BH631" s="29"/>
    </row>
    <row r="632" spans="1:60" ht="14.25" customHeight="1" x14ac:dyDescent="0.3">
      <c r="A632" s="28"/>
      <c r="B632" s="29"/>
      <c r="C632" s="30"/>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c r="AH632" s="29"/>
      <c r="AI632" s="29"/>
      <c r="AJ632" s="29"/>
      <c r="AK632" s="29"/>
      <c r="AL632" s="29"/>
      <c r="AM632" s="29"/>
      <c r="AN632" s="29"/>
      <c r="AO632" s="29"/>
      <c r="AP632" s="29"/>
      <c r="AQ632" s="29"/>
      <c r="AR632" s="29"/>
      <c r="AS632" s="29"/>
      <c r="AT632" s="29"/>
      <c r="AU632" s="29"/>
      <c r="AV632" s="29"/>
      <c r="AW632" s="29"/>
      <c r="AX632" s="29"/>
      <c r="AY632" s="29"/>
      <c r="AZ632" s="29"/>
      <c r="BA632" s="29"/>
      <c r="BB632" s="29"/>
      <c r="BC632" s="29"/>
      <c r="BD632" s="29"/>
      <c r="BE632" s="29"/>
      <c r="BF632" s="29"/>
      <c r="BG632" s="29"/>
      <c r="BH632" s="29"/>
    </row>
    <row r="633" spans="1:60" ht="14.25" customHeight="1" x14ac:dyDescent="0.3">
      <c r="A633" s="28"/>
      <c r="B633" s="29"/>
      <c r="C633" s="30"/>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c r="AN633" s="29"/>
      <c r="AO633" s="29"/>
      <c r="AP633" s="29"/>
      <c r="AQ633" s="29"/>
      <c r="AR633" s="29"/>
      <c r="AS633" s="29"/>
      <c r="AT633" s="29"/>
      <c r="AU633" s="29"/>
      <c r="AV633" s="29"/>
      <c r="AW633" s="29"/>
      <c r="AX633" s="29"/>
      <c r="AY633" s="29"/>
      <c r="AZ633" s="29"/>
      <c r="BA633" s="29"/>
      <c r="BB633" s="29"/>
      <c r="BC633" s="29"/>
      <c r="BD633" s="29"/>
      <c r="BE633" s="29"/>
      <c r="BF633" s="29"/>
      <c r="BG633" s="29"/>
      <c r="BH633" s="29"/>
    </row>
    <row r="634" spans="1:60" ht="14.25" customHeight="1" x14ac:dyDescent="0.3">
      <c r="A634" s="28"/>
      <c r="B634" s="29"/>
      <c r="C634" s="30"/>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J634" s="29"/>
      <c r="AK634" s="29"/>
      <c r="AL634" s="29"/>
      <c r="AM634" s="29"/>
      <c r="AN634" s="29"/>
      <c r="AO634" s="29"/>
      <c r="AP634" s="29"/>
      <c r="AQ634" s="29"/>
      <c r="AR634" s="29"/>
      <c r="AS634" s="29"/>
      <c r="AT634" s="29"/>
      <c r="AU634" s="29"/>
      <c r="AV634" s="29"/>
      <c r="AW634" s="29"/>
      <c r="AX634" s="29"/>
      <c r="AY634" s="29"/>
      <c r="AZ634" s="29"/>
      <c r="BA634" s="29"/>
      <c r="BB634" s="29"/>
      <c r="BC634" s="29"/>
      <c r="BD634" s="29"/>
      <c r="BE634" s="29"/>
      <c r="BF634" s="29"/>
      <c r="BG634" s="29"/>
      <c r="BH634" s="29"/>
    </row>
    <row r="635" spans="1:60" ht="14.25" customHeight="1" x14ac:dyDescent="0.3">
      <c r="A635" s="28"/>
      <c r="B635" s="29"/>
      <c r="C635" s="30"/>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c r="AO635" s="29"/>
      <c r="AP635" s="29"/>
      <c r="AQ635" s="29"/>
      <c r="AR635" s="29"/>
      <c r="AS635" s="29"/>
      <c r="AT635" s="29"/>
      <c r="AU635" s="29"/>
      <c r="AV635" s="29"/>
      <c r="AW635" s="29"/>
      <c r="AX635" s="29"/>
      <c r="AY635" s="29"/>
      <c r="AZ635" s="29"/>
      <c r="BA635" s="29"/>
      <c r="BB635" s="29"/>
      <c r="BC635" s="29"/>
      <c r="BD635" s="29"/>
      <c r="BE635" s="29"/>
      <c r="BF635" s="29"/>
      <c r="BG635" s="29"/>
      <c r="BH635" s="29"/>
    </row>
    <row r="636" spans="1:60" ht="14.25" customHeight="1" x14ac:dyDescent="0.3">
      <c r="A636" s="28"/>
      <c r="B636" s="29"/>
      <c r="C636" s="30"/>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c r="AH636" s="29"/>
      <c r="AI636" s="29"/>
      <c r="AJ636" s="29"/>
      <c r="AK636" s="29"/>
      <c r="AL636" s="29"/>
      <c r="AM636" s="29"/>
      <c r="AN636" s="29"/>
      <c r="AO636" s="29"/>
      <c r="AP636" s="29"/>
      <c r="AQ636" s="29"/>
      <c r="AR636" s="29"/>
      <c r="AS636" s="29"/>
      <c r="AT636" s="29"/>
      <c r="AU636" s="29"/>
      <c r="AV636" s="29"/>
      <c r="AW636" s="29"/>
      <c r="AX636" s="29"/>
      <c r="AY636" s="29"/>
      <c r="AZ636" s="29"/>
      <c r="BA636" s="29"/>
      <c r="BB636" s="29"/>
      <c r="BC636" s="29"/>
      <c r="BD636" s="29"/>
      <c r="BE636" s="29"/>
      <c r="BF636" s="29"/>
      <c r="BG636" s="29"/>
      <c r="BH636" s="29"/>
    </row>
    <row r="637" spans="1:60" ht="14.25" customHeight="1" x14ac:dyDescent="0.3">
      <c r="A637" s="28"/>
      <c r="B637" s="29"/>
      <c r="C637" s="30"/>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c r="AN637" s="29"/>
      <c r="AO637" s="29"/>
      <c r="AP637" s="29"/>
      <c r="AQ637" s="29"/>
      <c r="AR637" s="29"/>
      <c r="AS637" s="29"/>
      <c r="AT637" s="29"/>
      <c r="AU637" s="29"/>
      <c r="AV637" s="29"/>
      <c r="AW637" s="29"/>
      <c r="AX637" s="29"/>
      <c r="AY637" s="29"/>
      <c r="AZ637" s="29"/>
      <c r="BA637" s="29"/>
      <c r="BB637" s="29"/>
      <c r="BC637" s="29"/>
      <c r="BD637" s="29"/>
      <c r="BE637" s="29"/>
      <c r="BF637" s="29"/>
      <c r="BG637" s="29"/>
      <c r="BH637" s="29"/>
    </row>
    <row r="638" spans="1:60" ht="14.25" customHeight="1" x14ac:dyDescent="0.3">
      <c r="A638" s="28"/>
      <c r="B638" s="29"/>
      <c r="C638" s="30"/>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c r="AH638" s="29"/>
      <c r="AI638" s="29"/>
      <c r="AJ638" s="29"/>
      <c r="AK638" s="29"/>
      <c r="AL638" s="29"/>
      <c r="AM638" s="29"/>
      <c r="AN638" s="29"/>
      <c r="AO638" s="29"/>
      <c r="AP638" s="29"/>
      <c r="AQ638" s="29"/>
      <c r="AR638" s="29"/>
      <c r="AS638" s="29"/>
      <c r="AT638" s="29"/>
      <c r="AU638" s="29"/>
      <c r="AV638" s="29"/>
      <c r="AW638" s="29"/>
      <c r="AX638" s="29"/>
      <c r="AY638" s="29"/>
      <c r="AZ638" s="29"/>
      <c r="BA638" s="29"/>
      <c r="BB638" s="29"/>
      <c r="BC638" s="29"/>
      <c r="BD638" s="29"/>
      <c r="BE638" s="29"/>
      <c r="BF638" s="29"/>
      <c r="BG638" s="29"/>
      <c r="BH638" s="29"/>
    </row>
    <row r="639" spans="1:60" ht="14.25" customHeight="1" x14ac:dyDescent="0.3">
      <c r="A639" s="28"/>
      <c r="B639" s="29"/>
      <c r="C639" s="30"/>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c r="AN639" s="29"/>
      <c r="AO639" s="29"/>
      <c r="AP639" s="29"/>
      <c r="AQ639" s="29"/>
      <c r="AR639" s="29"/>
      <c r="AS639" s="29"/>
      <c r="AT639" s="29"/>
      <c r="AU639" s="29"/>
      <c r="AV639" s="29"/>
      <c r="AW639" s="29"/>
      <c r="AX639" s="29"/>
      <c r="AY639" s="29"/>
      <c r="AZ639" s="29"/>
      <c r="BA639" s="29"/>
      <c r="BB639" s="29"/>
      <c r="BC639" s="29"/>
      <c r="BD639" s="29"/>
      <c r="BE639" s="29"/>
      <c r="BF639" s="29"/>
      <c r="BG639" s="29"/>
      <c r="BH639" s="29"/>
    </row>
    <row r="640" spans="1:60" ht="14.25" customHeight="1" x14ac:dyDescent="0.3">
      <c r="A640" s="28"/>
      <c r="B640" s="29"/>
      <c r="C640" s="30"/>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J640" s="29"/>
      <c r="AK640" s="29"/>
      <c r="AL640" s="29"/>
      <c r="AM640" s="29"/>
      <c r="AN640" s="29"/>
      <c r="AO640" s="29"/>
      <c r="AP640" s="29"/>
      <c r="AQ640" s="29"/>
      <c r="AR640" s="29"/>
      <c r="AS640" s="29"/>
      <c r="AT640" s="29"/>
      <c r="AU640" s="29"/>
      <c r="AV640" s="29"/>
      <c r="AW640" s="29"/>
      <c r="AX640" s="29"/>
      <c r="AY640" s="29"/>
      <c r="AZ640" s="29"/>
      <c r="BA640" s="29"/>
      <c r="BB640" s="29"/>
      <c r="BC640" s="29"/>
      <c r="BD640" s="29"/>
      <c r="BE640" s="29"/>
      <c r="BF640" s="29"/>
      <c r="BG640" s="29"/>
      <c r="BH640" s="29"/>
    </row>
    <row r="641" spans="1:60" ht="14.25" customHeight="1" x14ac:dyDescent="0.3">
      <c r="A641" s="28"/>
      <c r="B641" s="29"/>
      <c r="C641" s="30"/>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J641" s="29"/>
      <c r="AK641" s="29"/>
      <c r="AL641" s="29"/>
      <c r="AM641" s="29"/>
      <c r="AN641" s="29"/>
      <c r="AO641" s="29"/>
      <c r="AP641" s="29"/>
      <c r="AQ641" s="29"/>
      <c r="AR641" s="29"/>
      <c r="AS641" s="29"/>
      <c r="AT641" s="29"/>
      <c r="AU641" s="29"/>
      <c r="AV641" s="29"/>
      <c r="AW641" s="29"/>
      <c r="AX641" s="29"/>
      <c r="AY641" s="29"/>
      <c r="AZ641" s="29"/>
      <c r="BA641" s="29"/>
      <c r="BB641" s="29"/>
      <c r="BC641" s="29"/>
      <c r="BD641" s="29"/>
      <c r="BE641" s="29"/>
      <c r="BF641" s="29"/>
      <c r="BG641" s="29"/>
      <c r="BH641" s="29"/>
    </row>
    <row r="642" spans="1:60" ht="14.25" customHeight="1" x14ac:dyDescent="0.3">
      <c r="A642" s="28"/>
      <c r="B642" s="29"/>
      <c r="C642" s="30"/>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c r="AG642" s="29"/>
      <c r="AH642" s="29"/>
      <c r="AI642" s="29"/>
      <c r="AJ642" s="29"/>
      <c r="AK642" s="29"/>
      <c r="AL642" s="29"/>
      <c r="AM642" s="29"/>
      <c r="AN642" s="29"/>
      <c r="AO642" s="29"/>
      <c r="AP642" s="29"/>
      <c r="AQ642" s="29"/>
      <c r="AR642" s="29"/>
      <c r="AS642" s="29"/>
      <c r="AT642" s="29"/>
      <c r="AU642" s="29"/>
      <c r="AV642" s="29"/>
      <c r="AW642" s="29"/>
      <c r="AX642" s="29"/>
      <c r="AY642" s="29"/>
      <c r="AZ642" s="29"/>
      <c r="BA642" s="29"/>
      <c r="BB642" s="29"/>
      <c r="BC642" s="29"/>
      <c r="BD642" s="29"/>
      <c r="BE642" s="29"/>
      <c r="BF642" s="29"/>
      <c r="BG642" s="29"/>
      <c r="BH642" s="29"/>
    </row>
    <row r="643" spans="1:60" ht="14.25" customHeight="1" x14ac:dyDescent="0.3">
      <c r="A643" s="28"/>
      <c r="B643" s="29"/>
      <c r="C643" s="30"/>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c r="AO643" s="29"/>
      <c r="AP643" s="29"/>
      <c r="AQ643" s="29"/>
      <c r="AR643" s="29"/>
      <c r="AS643" s="29"/>
      <c r="AT643" s="29"/>
      <c r="AU643" s="29"/>
      <c r="AV643" s="29"/>
      <c r="AW643" s="29"/>
      <c r="AX643" s="29"/>
      <c r="AY643" s="29"/>
      <c r="AZ643" s="29"/>
      <c r="BA643" s="29"/>
      <c r="BB643" s="29"/>
      <c r="BC643" s="29"/>
      <c r="BD643" s="29"/>
      <c r="BE643" s="29"/>
      <c r="BF643" s="29"/>
      <c r="BG643" s="29"/>
      <c r="BH643" s="29"/>
    </row>
    <row r="644" spans="1:60" ht="14.25" customHeight="1" x14ac:dyDescent="0.3">
      <c r="A644" s="28"/>
      <c r="B644" s="29"/>
      <c r="C644" s="30"/>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c r="AH644" s="29"/>
      <c r="AI644" s="29"/>
      <c r="AJ644" s="29"/>
      <c r="AK644" s="29"/>
      <c r="AL644" s="29"/>
      <c r="AM644" s="29"/>
      <c r="AN644" s="29"/>
      <c r="AO644" s="29"/>
      <c r="AP644" s="29"/>
      <c r="AQ644" s="29"/>
      <c r="AR644" s="29"/>
      <c r="AS644" s="29"/>
      <c r="AT644" s="29"/>
      <c r="AU644" s="29"/>
      <c r="AV644" s="29"/>
      <c r="AW644" s="29"/>
      <c r="AX644" s="29"/>
      <c r="AY644" s="29"/>
      <c r="AZ644" s="29"/>
      <c r="BA644" s="29"/>
      <c r="BB644" s="29"/>
      <c r="BC644" s="29"/>
      <c r="BD644" s="29"/>
      <c r="BE644" s="29"/>
      <c r="BF644" s="29"/>
      <c r="BG644" s="29"/>
      <c r="BH644" s="29"/>
    </row>
    <row r="645" spans="1:60" ht="14.25" customHeight="1" x14ac:dyDescent="0.3">
      <c r="A645" s="28"/>
      <c r="B645" s="29"/>
      <c r="C645" s="30"/>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c r="AN645" s="29"/>
      <c r="AO645" s="29"/>
      <c r="AP645" s="29"/>
      <c r="AQ645" s="29"/>
      <c r="AR645" s="29"/>
      <c r="AS645" s="29"/>
      <c r="AT645" s="29"/>
      <c r="AU645" s="29"/>
      <c r="AV645" s="29"/>
      <c r="AW645" s="29"/>
      <c r="AX645" s="29"/>
      <c r="AY645" s="29"/>
      <c r="AZ645" s="29"/>
      <c r="BA645" s="29"/>
      <c r="BB645" s="29"/>
      <c r="BC645" s="29"/>
      <c r="BD645" s="29"/>
      <c r="BE645" s="29"/>
      <c r="BF645" s="29"/>
      <c r="BG645" s="29"/>
      <c r="BH645" s="29"/>
    </row>
    <row r="646" spans="1:60" ht="14.25" customHeight="1" x14ac:dyDescent="0.3">
      <c r="A646" s="28"/>
      <c r="B646" s="29"/>
      <c r="C646" s="30"/>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c r="AH646" s="29"/>
      <c r="AI646" s="29"/>
      <c r="AJ646" s="29"/>
      <c r="AK646" s="29"/>
      <c r="AL646" s="29"/>
      <c r="AM646" s="29"/>
      <c r="AN646" s="29"/>
      <c r="AO646" s="29"/>
      <c r="AP646" s="29"/>
      <c r="AQ646" s="29"/>
      <c r="AR646" s="29"/>
      <c r="AS646" s="29"/>
      <c r="AT646" s="29"/>
      <c r="AU646" s="29"/>
      <c r="AV646" s="29"/>
      <c r="AW646" s="29"/>
      <c r="AX646" s="29"/>
      <c r="AY646" s="29"/>
      <c r="AZ646" s="29"/>
      <c r="BA646" s="29"/>
      <c r="BB646" s="29"/>
      <c r="BC646" s="29"/>
      <c r="BD646" s="29"/>
      <c r="BE646" s="29"/>
      <c r="BF646" s="29"/>
      <c r="BG646" s="29"/>
      <c r="BH646" s="29"/>
    </row>
    <row r="647" spans="1:60" ht="14.25" customHeight="1" x14ac:dyDescent="0.3">
      <c r="A647" s="28"/>
      <c r="B647" s="29"/>
      <c r="C647" s="30"/>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c r="AN647" s="29"/>
      <c r="AO647" s="29"/>
      <c r="AP647" s="29"/>
      <c r="AQ647" s="29"/>
      <c r="AR647" s="29"/>
      <c r="AS647" s="29"/>
      <c r="AT647" s="29"/>
      <c r="AU647" s="29"/>
      <c r="AV647" s="29"/>
      <c r="AW647" s="29"/>
      <c r="AX647" s="29"/>
      <c r="AY647" s="29"/>
      <c r="AZ647" s="29"/>
      <c r="BA647" s="29"/>
      <c r="BB647" s="29"/>
      <c r="BC647" s="29"/>
      <c r="BD647" s="29"/>
      <c r="BE647" s="29"/>
      <c r="BF647" s="29"/>
      <c r="BG647" s="29"/>
      <c r="BH647" s="29"/>
    </row>
    <row r="648" spans="1:60" ht="14.25" customHeight="1" x14ac:dyDescent="0.3">
      <c r="A648" s="28"/>
      <c r="B648" s="29"/>
      <c r="C648" s="30"/>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c r="AG648" s="29"/>
      <c r="AH648" s="29"/>
      <c r="AI648" s="29"/>
      <c r="AJ648" s="29"/>
      <c r="AK648" s="29"/>
      <c r="AL648" s="29"/>
      <c r="AM648" s="29"/>
      <c r="AN648" s="29"/>
      <c r="AO648" s="29"/>
      <c r="AP648" s="29"/>
      <c r="AQ648" s="29"/>
      <c r="AR648" s="29"/>
      <c r="AS648" s="29"/>
      <c r="AT648" s="29"/>
      <c r="AU648" s="29"/>
      <c r="AV648" s="29"/>
      <c r="AW648" s="29"/>
      <c r="AX648" s="29"/>
      <c r="AY648" s="29"/>
      <c r="AZ648" s="29"/>
      <c r="BA648" s="29"/>
      <c r="BB648" s="29"/>
      <c r="BC648" s="29"/>
      <c r="BD648" s="29"/>
      <c r="BE648" s="29"/>
      <c r="BF648" s="29"/>
      <c r="BG648" s="29"/>
      <c r="BH648" s="29"/>
    </row>
    <row r="649" spans="1:60" ht="14.25" customHeight="1" x14ac:dyDescent="0.3">
      <c r="A649" s="28"/>
      <c r="B649" s="29"/>
      <c r="C649" s="30"/>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c r="AN649" s="29"/>
      <c r="AO649" s="29"/>
      <c r="AP649" s="29"/>
      <c r="AQ649" s="29"/>
      <c r="AR649" s="29"/>
      <c r="AS649" s="29"/>
      <c r="AT649" s="29"/>
      <c r="AU649" s="29"/>
      <c r="AV649" s="29"/>
      <c r="AW649" s="29"/>
      <c r="AX649" s="29"/>
      <c r="AY649" s="29"/>
      <c r="AZ649" s="29"/>
      <c r="BA649" s="29"/>
      <c r="BB649" s="29"/>
      <c r="BC649" s="29"/>
      <c r="BD649" s="29"/>
      <c r="BE649" s="29"/>
      <c r="BF649" s="29"/>
      <c r="BG649" s="29"/>
      <c r="BH649" s="29"/>
    </row>
    <row r="650" spans="1:60" ht="14.25" customHeight="1" x14ac:dyDescent="0.3">
      <c r="A650" s="28"/>
      <c r="B650" s="29"/>
      <c r="C650" s="30"/>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c r="AH650" s="29"/>
      <c r="AI650" s="29"/>
      <c r="AJ650" s="29"/>
      <c r="AK650" s="29"/>
      <c r="AL650" s="29"/>
      <c r="AM650" s="29"/>
      <c r="AN650" s="29"/>
      <c r="AO650" s="29"/>
      <c r="AP650" s="29"/>
      <c r="AQ650" s="29"/>
      <c r="AR650" s="29"/>
      <c r="AS650" s="29"/>
      <c r="AT650" s="29"/>
      <c r="AU650" s="29"/>
      <c r="AV650" s="29"/>
      <c r="AW650" s="29"/>
      <c r="AX650" s="29"/>
      <c r="AY650" s="29"/>
      <c r="AZ650" s="29"/>
      <c r="BA650" s="29"/>
      <c r="BB650" s="29"/>
      <c r="BC650" s="29"/>
      <c r="BD650" s="29"/>
      <c r="BE650" s="29"/>
      <c r="BF650" s="29"/>
      <c r="BG650" s="29"/>
      <c r="BH650" s="29"/>
    </row>
    <row r="651" spans="1:60" ht="14.25" customHeight="1" x14ac:dyDescent="0.3">
      <c r="A651" s="28"/>
      <c r="B651" s="29"/>
      <c r="C651" s="30"/>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c r="AN651" s="29"/>
      <c r="AO651" s="29"/>
      <c r="AP651" s="29"/>
      <c r="AQ651" s="29"/>
      <c r="AR651" s="29"/>
      <c r="AS651" s="29"/>
      <c r="AT651" s="29"/>
      <c r="AU651" s="29"/>
      <c r="AV651" s="29"/>
      <c r="AW651" s="29"/>
      <c r="AX651" s="29"/>
      <c r="AY651" s="29"/>
      <c r="AZ651" s="29"/>
      <c r="BA651" s="29"/>
      <c r="BB651" s="29"/>
      <c r="BC651" s="29"/>
      <c r="BD651" s="29"/>
      <c r="BE651" s="29"/>
      <c r="BF651" s="29"/>
      <c r="BG651" s="29"/>
      <c r="BH651" s="29"/>
    </row>
    <row r="652" spans="1:60" ht="14.25" customHeight="1" x14ac:dyDescent="0.3">
      <c r="A652" s="28"/>
      <c r="B652" s="29"/>
      <c r="C652" s="30"/>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c r="AH652" s="29"/>
      <c r="AI652" s="29"/>
      <c r="AJ652" s="29"/>
      <c r="AK652" s="29"/>
      <c r="AL652" s="29"/>
      <c r="AM652" s="29"/>
      <c r="AN652" s="29"/>
      <c r="AO652" s="29"/>
      <c r="AP652" s="29"/>
      <c r="AQ652" s="29"/>
      <c r="AR652" s="29"/>
      <c r="AS652" s="29"/>
      <c r="AT652" s="29"/>
      <c r="AU652" s="29"/>
      <c r="AV652" s="29"/>
      <c r="AW652" s="29"/>
      <c r="AX652" s="29"/>
      <c r="AY652" s="29"/>
      <c r="AZ652" s="29"/>
      <c r="BA652" s="29"/>
      <c r="BB652" s="29"/>
      <c r="BC652" s="29"/>
      <c r="BD652" s="29"/>
      <c r="BE652" s="29"/>
      <c r="BF652" s="29"/>
      <c r="BG652" s="29"/>
      <c r="BH652" s="29"/>
    </row>
    <row r="653" spans="1:60" ht="14.25" customHeight="1" x14ac:dyDescent="0.3">
      <c r="A653" s="28"/>
      <c r="B653" s="29"/>
      <c r="C653" s="30"/>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c r="AO653" s="29"/>
      <c r="AP653" s="29"/>
      <c r="AQ653" s="29"/>
      <c r="AR653" s="29"/>
      <c r="AS653" s="29"/>
      <c r="AT653" s="29"/>
      <c r="AU653" s="29"/>
      <c r="AV653" s="29"/>
      <c r="AW653" s="29"/>
      <c r="AX653" s="29"/>
      <c r="AY653" s="29"/>
      <c r="AZ653" s="29"/>
      <c r="BA653" s="29"/>
      <c r="BB653" s="29"/>
      <c r="BC653" s="29"/>
      <c r="BD653" s="29"/>
      <c r="BE653" s="29"/>
      <c r="BF653" s="29"/>
      <c r="BG653" s="29"/>
      <c r="BH653" s="29"/>
    </row>
    <row r="654" spans="1:60" ht="14.25" customHeight="1" x14ac:dyDescent="0.3">
      <c r="A654" s="28"/>
      <c r="B654" s="29"/>
      <c r="C654" s="30"/>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c r="AH654" s="29"/>
      <c r="AI654" s="29"/>
      <c r="AJ654" s="29"/>
      <c r="AK654" s="29"/>
      <c r="AL654" s="29"/>
      <c r="AM654" s="29"/>
      <c r="AN654" s="29"/>
      <c r="AO654" s="29"/>
      <c r="AP654" s="29"/>
      <c r="AQ654" s="29"/>
      <c r="AR654" s="29"/>
      <c r="AS654" s="29"/>
      <c r="AT654" s="29"/>
      <c r="AU654" s="29"/>
      <c r="AV654" s="29"/>
      <c r="AW654" s="29"/>
      <c r="AX654" s="29"/>
      <c r="AY654" s="29"/>
      <c r="AZ654" s="29"/>
      <c r="BA654" s="29"/>
      <c r="BB654" s="29"/>
      <c r="BC654" s="29"/>
      <c r="BD654" s="29"/>
      <c r="BE654" s="29"/>
      <c r="BF654" s="29"/>
      <c r="BG654" s="29"/>
      <c r="BH654" s="29"/>
    </row>
    <row r="655" spans="1:60" ht="14.25" customHeight="1" x14ac:dyDescent="0.3">
      <c r="A655" s="28"/>
      <c r="B655" s="29"/>
      <c r="C655" s="30"/>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J655" s="29"/>
      <c r="AK655" s="29"/>
      <c r="AL655" s="29"/>
      <c r="AM655" s="29"/>
      <c r="AN655" s="29"/>
      <c r="AO655" s="29"/>
      <c r="AP655" s="29"/>
      <c r="AQ655" s="29"/>
      <c r="AR655" s="29"/>
      <c r="AS655" s="29"/>
      <c r="AT655" s="29"/>
      <c r="AU655" s="29"/>
      <c r="AV655" s="29"/>
      <c r="AW655" s="29"/>
      <c r="AX655" s="29"/>
      <c r="AY655" s="29"/>
      <c r="AZ655" s="29"/>
      <c r="BA655" s="29"/>
      <c r="BB655" s="29"/>
      <c r="BC655" s="29"/>
      <c r="BD655" s="29"/>
      <c r="BE655" s="29"/>
      <c r="BF655" s="29"/>
      <c r="BG655" s="29"/>
      <c r="BH655" s="29"/>
    </row>
    <row r="656" spans="1:60" ht="14.25" customHeight="1" x14ac:dyDescent="0.3">
      <c r="A656" s="28"/>
      <c r="B656" s="29"/>
      <c r="C656" s="30"/>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c r="AH656" s="29"/>
      <c r="AI656" s="29"/>
      <c r="AJ656" s="29"/>
      <c r="AK656" s="29"/>
      <c r="AL656" s="29"/>
      <c r="AM656" s="29"/>
      <c r="AN656" s="29"/>
      <c r="AO656" s="29"/>
      <c r="AP656" s="29"/>
      <c r="AQ656" s="29"/>
      <c r="AR656" s="29"/>
      <c r="AS656" s="29"/>
      <c r="AT656" s="29"/>
      <c r="AU656" s="29"/>
      <c r="AV656" s="29"/>
      <c r="AW656" s="29"/>
      <c r="AX656" s="29"/>
      <c r="AY656" s="29"/>
      <c r="AZ656" s="29"/>
      <c r="BA656" s="29"/>
      <c r="BB656" s="29"/>
      <c r="BC656" s="29"/>
      <c r="BD656" s="29"/>
      <c r="BE656" s="29"/>
      <c r="BF656" s="29"/>
      <c r="BG656" s="29"/>
      <c r="BH656" s="29"/>
    </row>
    <row r="657" spans="1:60" ht="14.25" customHeight="1" x14ac:dyDescent="0.3">
      <c r="A657" s="28"/>
      <c r="B657" s="29"/>
      <c r="C657" s="30"/>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J657" s="29"/>
      <c r="AK657" s="29"/>
      <c r="AL657" s="29"/>
      <c r="AM657" s="29"/>
      <c r="AN657" s="29"/>
      <c r="AO657" s="29"/>
      <c r="AP657" s="29"/>
      <c r="AQ657" s="29"/>
      <c r="AR657" s="29"/>
      <c r="AS657" s="29"/>
      <c r="AT657" s="29"/>
      <c r="AU657" s="29"/>
      <c r="AV657" s="29"/>
      <c r="AW657" s="29"/>
      <c r="AX657" s="29"/>
      <c r="AY657" s="29"/>
      <c r="AZ657" s="29"/>
      <c r="BA657" s="29"/>
      <c r="BB657" s="29"/>
      <c r="BC657" s="29"/>
      <c r="BD657" s="29"/>
      <c r="BE657" s="29"/>
      <c r="BF657" s="29"/>
      <c r="BG657" s="29"/>
      <c r="BH657" s="29"/>
    </row>
    <row r="658" spans="1:60" ht="14.25" customHeight="1" x14ac:dyDescent="0.3">
      <c r="A658" s="28"/>
      <c r="B658" s="29"/>
      <c r="C658" s="30"/>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c r="AH658" s="29"/>
      <c r="AI658" s="29"/>
      <c r="AJ658" s="29"/>
      <c r="AK658" s="29"/>
      <c r="AL658" s="29"/>
      <c r="AM658" s="29"/>
      <c r="AN658" s="29"/>
      <c r="AO658" s="29"/>
      <c r="AP658" s="29"/>
      <c r="AQ658" s="29"/>
      <c r="AR658" s="29"/>
      <c r="AS658" s="29"/>
      <c r="AT658" s="29"/>
      <c r="AU658" s="29"/>
      <c r="AV658" s="29"/>
      <c r="AW658" s="29"/>
      <c r="AX658" s="29"/>
      <c r="AY658" s="29"/>
      <c r="AZ658" s="29"/>
      <c r="BA658" s="29"/>
      <c r="BB658" s="29"/>
      <c r="BC658" s="29"/>
      <c r="BD658" s="29"/>
      <c r="BE658" s="29"/>
      <c r="BF658" s="29"/>
      <c r="BG658" s="29"/>
      <c r="BH658" s="29"/>
    </row>
    <row r="659" spans="1:60" ht="14.25" customHeight="1" x14ac:dyDescent="0.3">
      <c r="A659" s="28"/>
      <c r="B659" s="29"/>
      <c r="C659" s="30"/>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J659" s="29"/>
      <c r="AK659" s="29"/>
      <c r="AL659" s="29"/>
      <c r="AM659" s="29"/>
      <c r="AN659" s="29"/>
      <c r="AO659" s="29"/>
      <c r="AP659" s="29"/>
      <c r="AQ659" s="29"/>
      <c r="AR659" s="29"/>
      <c r="AS659" s="29"/>
      <c r="AT659" s="29"/>
      <c r="AU659" s="29"/>
      <c r="AV659" s="29"/>
      <c r="AW659" s="29"/>
      <c r="AX659" s="29"/>
      <c r="AY659" s="29"/>
      <c r="AZ659" s="29"/>
      <c r="BA659" s="29"/>
      <c r="BB659" s="29"/>
      <c r="BC659" s="29"/>
      <c r="BD659" s="29"/>
      <c r="BE659" s="29"/>
      <c r="BF659" s="29"/>
      <c r="BG659" s="29"/>
      <c r="BH659" s="29"/>
    </row>
    <row r="660" spans="1:60" ht="14.25" customHeight="1" x14ac:dyDescent="0.3">
      <c r="A660" s="28"/>
      <c r="B660" s="29"/>
      <c r="C660" s="30"/>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c r="AH660" s="29"/>
      <c r="AI660" s="29"/>
      <c r="AJ660" s="29"/>
      <c r="AK660" s="29"/>
      <c r="AL660" s="29"/>
      <c r="AM660" s="29"/>
      <c r="AN660" s="29"/>
      <c r="AO660" s="29"/>
      <c r="AP660" s="29"/>
      <c r="AQ660" s="29"/>
      <c r="AR660" s="29"/>
      <c r="AS660" s="29"/>
      <c r="AT660" s="29"/>
      <c r="AU660" s="29"/>
      <c r="AV660" s="29"/>
      <c r="AW660" s="29"/>
      <c r="AX660" s="29"/>
      <c r="AY660" s="29"/>
      <c r="AZ660" s="29"/>
      <c r="BA660" s="29"/>
      <c r="BB660" s="29"/>
      <c r="BC660" s="29"/>
      <c r="BD660" s="29"/>
      <c r="BE660" s="29"/>
      <c r="BF660" s="29"/>
      <c r="BG660" s="29"/>
      <c r="BH660" s="29"/>
    </row>
    <row r="661" spans="1:60" ht="14.25" customHeight="1" x14ac:dyDescent="0.3">
      <c r="A661" s="28"/>
      <c r="B661" s="29"/>
      <c r="C661" s="30"/>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c r="AK661" s="29"/>
      <c r="AL661" s="29"/>
      <c r="AM661" s="29"/>
      <c r="AN661" s="29"/>
      <c r="AO661" s="29"/>
      <c r="AP661" s="29"/>
      <c r="AQ661" s="29"/>
      <c r="AR661" s="29"/>
      <c r="AS661" s="29"/>
      <c r="AT661" s="29"/>
      <c r="AU661" s="29"/>
      <c r="AV661" s="29"/>
      <c r="AW661" s="29"/>
      <c r="AX661" s="29"/>
      <c r="AY661" s="29"/>
      <c r="AZ661" s="29"/>
      <c r="BA661" s="29"/>
      <c r="BB661" s="29"/>
      <c r="BC661" s="29"/>
      <c r="BD661" s="29"/>
      <c r="BE661" s="29"/>
      <c r="BF661" s="29"/>
      <c r="BG661" s="29"/>
      <c r="BH661" s="29"/>
    </row>
    <row r="662" spans="1:60" ht="14.25" customHeight="1" x14ac:dyDescent="0.3">
      <c r="A662" s="28"/>
      <c r="B662" s="29"/>
      <c r="C662" s="30"/>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29"/>
      <c r="AI662" s="29"/>
      <c r="AJ662" s="29"/>
      <c r="AK662" s="29"/>
      <c r="AL662" s="29"/>
      <c r="AM662" s="29"/>
      <c r="AN662" s="29"/>
      <c r="AO662" s="29"/>
      <c r="AP662" s="29"/>
      <c r="AQ662" s="29"/>
      <c r="AR662" s="29"/>
      <c r="AS662" s="29"/>
      <c r="AT662" s="29"/>
      <c r="AU662" s="29"/>
      <c r="AV662" s="29"/>
      <c r="AW662" s="29"/>
      <c r="AX662" s="29"/>
      <c r="AY662" s="29"/>
      <c r="AZ662" s="29"/>
      <c r="BA662" s="29"/>
      <c r="BB662" s="29"/>
      <c r="BC662" s="29"/>
      <c r="BD662" s="29"/>
      <c r="BE662" s="29"/>
      <c r="BF662" s="29"/>
      <c r="BG662" s="29"/>
      <c r="BH662" s="29"/>
    </row>
    <row r="663" spans="1:60" ht="14.25" customHeight="1" x14ac:dyDescent="0.3">
      <c r="A663" s="28"/>
      <c r="B663" s="29"/>
      <c r="C663" s="30"/>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c r="AK663" s="29"/>
      <c r="AL663" s="29"/>
      <c r="AM663" s="29"/>
      <c r="AN663" s="29"/>
      <c r="AO663" s="29"/>
      <c r="AP663" s="29"/>
      <c r="AQ663" s="29"/>
      <c r="AR663" s="29"/>
      <c r="AS663" s="29"/>
      <c r="AT663" s="29"/>
      <c r="AU663" s="29"/>
      <c r="AV663" s="29"/>
      <c r="AW663" s="29"/>
      <c r="AX663" s="29"/>
      <c r="AY663" s="29"/>
      <c r="AZ663" s="29"/>
      <c r="BA663" s="29"/>
      <c r="BB663" s="29"/>
      <c r="BC663" s="29"/>
      <c r="BD663" s="29"/>
      <c r="BE663" s="29"/>
      <c r="BF663" s="29"/>
      <c r="BG663" s="29"/>
      <c r="BH663" s="29"/>
    </row>
    <row r="664" spans="1:60" ht="14.25" customHeight="1" x14ac:dyDescent="0.3">
      <c r="A664" s="28"/>
      <c r="B664" s="29"/>
      <c r="C664" s="30"/>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J664" s="29"/>
      <c r="AK664" s="29"/>
      <c r="AL664" s="29"/>
      <c r="AM664" s="29"/>
      <c r="AN664" s="29"/>
      <c r="AO664" s="29"/>
      <c r="AP664" s="29"/>
      <c r="AQ664" s="29"/>
      <c r="AR664" s="29"/>
      <c r="AS664" s="29"/>
      <c r="AT664" s="29"/>
      <c r="AU664" s="29"/>
      <c r="AV664" s="29"/>
      <c r="AW664" s="29"/>
      <c r="AX664" s="29"/>
      <c r="AY664" s="29"/>
      <c r="AZ664" s="29"/>
      <c r="BA664" s="29"/>
      <c r="BB664" s="29"/>
      <c r="BC664" s="29"/>
      <c r="BD664" s="29"/>
      <c r="BE664" s="29"/>
      <c r="BF664" s="29"/>
      <c r="BG664" s="29"/>
      <c r="BH664" s="29"/>
    </row>
    <row r="665" spans="1:60" ht="14.25" customHeight="1" x14ac:dyDescent="0.3">
      <c r="A665" s="28"/>
      <c r="B665" s="29"/>
      <c r="C665" s="30"/>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c r="AK665" s="29"/>
      <c r="AL665" s="29"/>
      <c r="AM665" s="29"/>
      <c r="AN665" s="29"/>
      <c r="AO665" s="29"/>
      <c r="AP665" s="29"/>
      <c r="AQ665" s="29"/>
      <c r="AR665" s="29"/>
      <c r="AS665" s="29"/>
      <c r="AT665" s="29"/>
      <c r="AU665" s="29"/>
      <c r="AV665" s="29"/>
      <c r="AW665" s="29"/>
      <c r="AX665" s="29"/>
      <c r="AY665" s="29"/>
      <c r="AZ665" s="29"/>
      <c r="BA665" s="29"/>
      <c r="BB665" s="29"/>
      <c r="BC665" s="29"/>
      <c r="BD665" s="29"/>
      <c r="BE665" s="29"/>
      <c r="BF665" s="29"/>
      <c r="BG665" s="29"/>
      <c r="BH665" s="29"/>
    </row>
    <row r="666" spans="1:60" ht="14.25" customHeight="1" x14ac:dyDescent="0.3">
      <c r="A666" s="28"/>
      <c r="B666" s="29"/>
      <c r="C666" s="30"/>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29"/>
      <c r="AI666" s="29"/>
      <c r="AJ666" s="29"/>
      <c r="AK666" s="29"/>
      <c r="AL666" s="29"/>
      <c r="AM666" s="29"/>
      <c r="AN666" s="29"/>
      <c r="AO666" s="29"/>
      <c r="AP666" s="29"/>
      <c r="AQ666" s="29"/>
      <c r="AR666" s="29"/>
      <c r="AS666" s="29"/>
      <c r="AT666" s="29"/>
      <c r="AU666" s="29"/>
      <c r="AV666" s="29"/>
      <c r="AW666" s="29"/>
      <c r="AX666" s="29"/>
      <c r="AY666" s="29"/>
      <c r="AZ666" s="29"/>
      <c r="BA666" s="29"/>
      <c r="BB666" s="29"/>
      <c r="BC666" s="29"/>
      <c r="BD666" s="29"/>
      <c r="BE666" s="29"/>
      <c r="BF666" s="29"/>
      <c r="BG666" s="29"/>
      <c r="BH666" s="29"/>
    </row>
    <row r="667" spans="1:60" ht="14.25" customHeight="1" x14ac:dyDescent="0.3">
      <c r="A667" s="28"/>
      <c r="B667" s="29"/>
      <c r="C667" s="30"/>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c r="AK667" s="29"/>
      <c r="AL667" s="29"/>
      <c r="AM667" s="29"/>
      <c r="AN667" s="29"/>
      <c r="AO667" s="29"/>
      <c r="AP667" s="29"/>
      <c r="AQ667" s="29"/>
      <c r="AR667" s="29"/>
      <c r="AS667" s="29"/>
      <c r="AT667" s="29"/>
      <c r="AU667" s="29"/>
      <c r="AV667" s="29"/>
      <c r="AW667" s="29"/>
      <c r="AX667" s="29"/>
      <c r="AY667" s="29"/>
      <c r="AZ667" s="29"/>
      <c r="BA667" s="29"/>
      <c r="BB667" s="29"/>
      <c r="BC667" s="29"/>
      <c r="BD667" s="29"/>
      <c r="BE667" s="29"/>
      <c r="BF667" s="29"/>
      <c r="BG667" s="29"/>
      <c r="BH667" s="29"/>
    </row>
    <row r="668" spans="1:60" ht="14.25" customHeight="1" x14ac:dyDescent="0.3">
      <c r="A668" s="28"/>
      <c r="B668" s="29"/>
      <c r="C668" s="30"/>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29"/>
      <c r="AI668" s="29"/>
      <c r="AJ668" s="29"/>
      <c r="AK668" s="29"/>
      <c r="AL668" s="29"/>
      <c r="AM668" s="29"/>
      <c r="AN668" s="29"/>
      <c r="AO668" s="29"/>
      <c r="AP668" s="29"/>
      <c r="AQ668" s="29"/>
      <c r="AR668" s="29"/>
      <c r="AS668" s="29"/>
      <c r="AT668" s="29"/>
      <c r="AU668" s="29"/>
      <c r="AV668" s="29"/>
      <c r="AW668" s="29"/>
      <c r="AX668" s="29"/>
      <c r="AY668" s="29"/>
      <c r="AZ668" s="29"/>
      <c r="BA668" s="29"/>
      <c r="BB668" s="29"/>
      <c r="BC668" s="29"/>
      <c r="BD668" s="29"/>
      <c r="BE668" s="29"/>
      <c r="BF668" s="29"/>
      <c r="BG668" s="29"/>
      <c r="BH668" s="29"/>
    </row>
    <row r="669" spans="1:60" ht="14.25" customHeight="1" x14ac:dyDescent="0.3">
      <c r="A669" s="28"/>
      <c r="B669" s="29"/>
      <c r="C669" s="30"/>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c r="AK669" s="29"/>
      <c r="AL669" s="29"/>
      <c r="AM669" s="29"/>
      <c r="AN669" s="29"/>
      <c r="AO669" s="29"/>
      <c r="AP669" s="29"/>
      <c r="AQ669" s="29"/>
      <c r="AR669" s="29"/>
      <c r="AS669" s="29"/>
      <c r="AT669" s="29"/>
      <c r="AU669" s="29"/>
      <c r="AV669" s="29"/>
      <c r="AW669" s="29"/>
      <c r="AX669" s="29"/>
      <c r="AY669" s="29"/>
      <c r="AZ669" s="29"/>
      <c r="BA669" s="29"/>
      <c r="BB669" s="29"/>
      <c r="BC669" s="29"/>
      <c r="BD669" s="29"/>
      <c r="BE669" s="29"/>
      <c r="BF669" s="29"/>
      <c r="BG669" s="29"/>
      <c r="BH669" s="29"/>
    </row>
    <row r="670" spans="1:60" ht="14.25" customHeight="1" x14ac:dyDescent="0.3">
      <c r="A670" s="28"/>
      <c r="B670" s="29"/>
      <c r="C670" s="30"/>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c r="AH670" s="29"/>
      <c r="AI670" s="29"/>
      <c r="AJ670" s="29"/>
      <c r="AK670" s="29"/>
      <c r="AL670" s="29"/>
      <c r="AM670" s="29"/>
      <c r="AN670" s="29"/>
      <c r="AO670" s="29"/>
      <c r="AP670" s="29"/>
      <c r="AQ670" s="29"/>
      <c r="AR670" s="29"/>
      <c r="AS670" s="29"/>
      <c r="AT670" s="29"/>
      <c r="AU670" s="29"/>
      <c r="AV670" s="29"/>
      <c r="AW670" s="29"/>
      <c r="AX670" s="29"/>
      <c r="AY670" s="29"/>
      <c r="AZ670" s="29"/>
      <c r="BA670" s="29"/>
      <c r="BB670" s="29"/>
      <c r="BC670" s="29"/>
      <c r="BD670" s="29"/>
      <c r="BE670" s="29"/>
      <c r="BF670" s="29"/>
      <c r="BG670" s="29"/>
      <c r="BH670" s="29"/>
    </row>
    <row r="671" spans="1:60" ht="14.25" customHeight="1" x14ac:dyDescent="0.3">
      <c r="A671" s="28"/>
      <c r="B671" s="29"/>
      <c r="C671" s="30"/>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c r="AK671" s="29"/>
      <c r="AL671" s="29"/>
      <c r="AM671" s="29"/>
      <c r="AN671" s="29"/>
      <c r="AO671" s="29"/>
      <c r="AP671" s="29"/>
      <c r="AQ671" s="29"/>
      <c r="AR671" s="29"/>
      <c r="AS671" s="29"/>
      <c r="AT671" s="29"/>
      <c r="AU671" s="29"/>
      <c r="AV671" s="29"/>
      <c r="AW671" s="29"/>
      <c r="AX671" s="29"/>
      <c r="AY671" s="29"/>
      <c r="AZ671" s="29"/>
      <c r="BA671" s="29"/>
      <c r="BB671" s="29"/>
      <c r="BC671" s="29"/>
      <c r="BD671" s="29"/>
      <c r="BE671" s="29"/>
      <c r="BF671" s="29"/>
      <c r="BG671" s="29"/>
      <c r="BH671" s="29"/>
    </row>
    <row r="672" spans="1:60" ht="14.25" customHeight="1" x14ac:dyDescent="0.3">
      <c r="A672" s="28"/>
      <c r="B672" s="29"/>
      <c r="C672" s="30"/>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c r="AH672" s="29"/>
      <c r="AI672" s="29"/>
      <c r="AJ672" s="29"/>
      <c r="AK672" s="29"/>
      <c r="AL672" s="29"/>
      <c r="AM672" s="29"/>
      <c r="AN672" s="29"/>
      <c r="AO672" s="29"/>
      <c r="AP672" s="29"/>
      <c r="AQ672" s="29"/>
      <c r="AR672" s="29"/>
      <c r="AS672" s="29"/>
      <c r="AT672" s="29"/>
      <c r="AU672" s="29"/>
      <c r="AV672" s="29"/>
      <c r="AW672" s="29"/>
      <c r="AX672" s="29"/>
      <c r="AY672" s="29"/>
      <c r="AZ672" s="29"/>
      <c r="BA672" s="29"/>
      <c r="BB672" s="29"/>
      <c r="BC672" s="29"/>
      <c r="BD672" s="29"/>
      <c r="BE672" s="29"/>
      <c r="BF672" s="29"/>
      <c r="BG672" s="29"/>
      <c r="BH672" s="29"/>
    </row>
    <row r="673" spans="1:60" ht="14.25" customHeight="1" x14ac:dyDescent="0.3">
      <c r="A673" s="28"/>
      <c r="B673" s="29"/>
      <c r="C673" s="30"/>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c r="AK673" s="29"/>
      <c r="AL673" s="29"/>
      <c r="AM673" s="29"/>
      <c r="AN673" s="29"/>
      <c r="AO673" s="29"/>
      <c r="AP673" s="29"/>
      <c r="AQ673" s="29"/>
      <c r="AR673" s="29"/>
      <c r="AS673" s="29"/>
      <c r="AT673" s="29"/>
      <c r="AU673" s="29"/>
      <c r="AV673" s="29"/>
      <c r="AW673" s="29"/>
      <c r="AX673" s="29"/>
      <c r="AY673" s="29"/>
      <c r="AZ673" s="29"/>
      <c r="BA673" s="29"/>
      <c r="BB673" s="29"/>
      <c r="BC673" s="29"/>
      <c r="BD673" s="29"/>
      <c r="BE673" s="29"/>
      <c r="BF673" s="29"/>
      <c r="BG673" s="29"/>
      <c r="BH673" s="29"/>
    </row>
    <row r="674" spans="1:60" ht="14.25" customHeight="1" x14ac:dyDescent="0.3">
      <c r="A674" s="28"/>
      <c r="B674" s="29"/>
      <c r="C674" s="30"/>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29"/>
      <c r="AI674" s="29"/>
      <c r="AJ674" s="29"/>
      <c r="AK674" s="29"/>
      <c r="AL674" s="29"/>
      <c r="AM674" s="29"/>
      <c r="AN674" s="29"/>
      <c r="AO674" s="29"/>
      <c r="AP674" s="29"/>
      <c r="AQ674" s="29"/>
      <c r="AR674" s="29"/>
      <c r="AS674" s="29"/>
      <c r="AT674" s="29"/>
      <c r="AU674" s="29"/>
      <c r="AV674" s="29"/>
      <c r="AW674" s="29"/>
      <c r="AX674" s="29"/>
      <c r="AY674" s="29"/>
      <c r="AZ674" s="29"/>
      <c r="BA674" s="29"/>
      <c r="BB674" s="29"/>
      <c r="BC674" s="29"/>
      <c r="BD674" s="29"/>
      <c r="BE674" s="29"/>
      <c r="BF674" s="29"/>
      <c r="BG674" s="29"/>
      <c r="BH674" s="29"/>
    </row>
    <row r="675" spans="1:60" ht="14.25" customHeight="1" x14ac:dyDescent="0.3">
      <c r="A675" s="28"/>
      <c r="B675" s="29"/>
      <c r="C675" s="30"/>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c r="AK675" s="29"/>
      <c r="AL675" s="29"/>
      <c r="AM675" s="29"/>
      <c r="AN675" s="29"/>
      <c r="AO675" s="29"/>
      <c r="AP675" s="29"/>
      <c r="AQ675" s="29"/>
      <c r="AR675" s="29"/>
      <c r="AS675" s="29"/>
      <c r="AT675" s="29"/>
      <c r="AU675" s="29"/>
      <c r="AV675" s="29"/>
      <c r="AW675" s="29"/>
      <c r="AX675" s="29"/>
      <c r="AY675" s="29"/>
      <c r="AZ675" s="29"/>
      <c r="BA675" s="29"/>
      <c r="BB675" s="29"/>
      <c r="BC675" s="29"/>
      <c r="BD675" s="29"/>
      <c r="BE675" s="29"/>
      <c r="BF675" s="29"/>
      <c r="BG675" s="29"/>
      <c r="BH675" s="29"/>
    </row>
    <row r="676" spans="1:60" ht="14.25" customHeight="1" x14ac:dyDescent="0.3">
      <c r="A676" s="28"/>
      <c r="B676" s="29"/>
      <c r="C676" s="30"/>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c r="AH676" s="29"/>
      <c r="AI676" s="29"/>
      <c r="AJ676" s="29"/>
      <c r="AK676" s="29"/>
      <c r="AL676" s="29"/>
      <c r="AM676" s="29"/>
      <c r="AN676" s="29"/>
      <c r="AO676" s="29"/>
      <c r="AP676" s="29"/>
      <c r="AQ676" s="29"/>
      <c r="AR676" s="29"/>
      <c r="AS676" s="29"/>
      <c r="AT676" s="29"/>
      <c r="AU676" s="29"/>
      <c r="AV676" s="29"/>
      <c r="AW676" s="29"/>
      <c r="AX676" s="29"/>
      <c r="AY676" s="29"/>
      <c r="AZ676" s="29"/>
      <c r="BA676" s="29"/>
      <c r="BB676" s="29"/>
      <c r="BC676" s="29"/>
      <c r="BD676" s="29"/>
      <c r="BE676" s="29"/>
      <c r="BF676" s="29"/>
      <c r="BG676" s="29"/>
      <c r="BH676" s="29"/>
    </row>
    <row r="677" spans="1:60" ht="14.25" customHeight="1" x14ac:dyDescent="0.3">
      <c r="A677" s="28"/>
      <c r="B677" s="29"/>
      <c r="C677" s="30"/>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c r="AN677" s="29"/>
      <c r="AO677" s="29"/>
      <c r="AP677" s="29"/>
      <c r="AQ677" s="29"/>
      <c r="AR677" s="29"/>
      <c r="AS677" s="29"/>
      <c r="AT677" s="29"/>
      <c r="AU677" s="29"/>
      <c r="AV677" s="29"/>
      <c r="AW677" s="29"/>
      <c r="AX677" s="29"/>
      <c r="AY677" s="29"/>
      <c r="AZ677" s="29"/>
      <c r="BA677" s="29"/>
      <c r="BB677" s="29"/>
      <c r="BC677" s="29"/>
      <c r="BD677" s="29"/>
      <c r="BE677" s="29"/>
      <c r="BF677" s="29"/>
      <c r="BG677" s="29"/>
      <c r="BH677" s="29"/>
    </row>
    <row r="678" spans="1:60" ht="14.25" customHeight="1" x14ac:dyDescent="0.3">
      <c r="A678" s="28"/>
      <c r="B678" s="29"/>
      <c r="C678" s="30"/>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29"/>
      <c r="AI678" s="29"/>
      <c r="AJ678" s="29"/>
      <c r="AK678" s="29"/>
      <c r="AL678" s="29"/>
      <c r="AM678" s="29"/>
      <c r="AN678" s="29"/>
      <c r="AO678" s="29"/>
      <c r="AP678" s="29"/>
      <c r="AQ678" s="29"/>
      <c r="AR678" s="29"/>
      <c r="AS678" s="29"/>
      <c r="AT678" s="29"/>
      <c r="AU678" s="29"/>
      <c r="AV678" s="29"/>
      <c r="AW678" s="29"/>
      <c r="AX678" s="29"/>
      <c r="AY678" s="29"/>
      <c r="AZ678" s="29"/>
      <c r="BA678" s="29"/>
      <c r="BB678" s="29"/>
      <c r="BC678" s="29"/>
      <c r="BD678" s="29"/>
      <c r="BE678" s="29"/>
      <c r="BF678" s="29"/>
      <c r="BG678" s="29"/>
      <c r="BH678" s="29"/>
    </row>
    <row r="679" spans="1:60" ht="14.25" customHeight="1" x14ac:dyDescent="0.3">
      <c r="A679" s="28"/>
      <c r="B679" s="29"/>
      <c r="C679" s="30"/>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c r="AN679" s="29"/>
      <c r="AO679" s="29"/>
      <c r="AP679" s="29"/>
      <c r="AQ679" s="29"/>
      <c r="AR679" s="29"/>
      <c r="AS679" s="29"/>
      <c r="AT679" s="29"/>
      <c r="AU679" s="29"/>
      <c r="AV679" s="29"/>
      <c r="AW679" s="29"/>
      <c r="AX679" s="29"/>
      <c r="AY679" s="29"/>
      <c r="AZ679" s="29"/>
      <c r="BA679" s="29"/>
      <c r="BB679" s="29"/>
      <c r="BC679" s="29"/>
      <c r="BD679" s="29"/>
      <c r="BE679" s="29"/>
      <c r="BF679" s="29"/>
      <c r="BG679" s="29"/>
      <c r="BH679" s="29"/>
    </row>
    <row r="680" spans="1:60" ht="14.25" customHeight="1" x14ac:dyDescent="0.3">
      <c r="A680" s="28"/>
      <c r="B680" s="29"/>
      <c r="C680" s="30"/>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J680" s="29"/>
      <c r="AK680" s="29"/>
      <c r="AL680" s="29"/>
      <c r="AM680" s="29"/>
      <c r="AN680" s="29"/>
      <c r="AO680" s="29"/>
      <c r="AP680" s="29"/>
      <c r="AQ680" s="29"/>
      <c r="AR680" s="29"/>
      <c r="AS680" s="29"/>
      <c r="AT680" s="29"/>
      <c r="AU680" s="29"/>
      <c r="AV680" s="29"/>
      <c r="AW680" s="29"/>
      <c r="AX680" s="29"/>
      <c r="AY680" s="29"/>
      <c r="AZ680" s="29"/>
      <c r="BA680" s="29"/>
      <c r="BB680" s="29"/>
      <c r="BC680" s="29"/>
      <c r="BD680" s="29"/>
      <c r="BE680" s="29"/>
      <c r="BF680" s="29"/>
      <c r="BG680" s="29"/>
      <c r="BH680" s="29"/>
    </row>
    <row r="681" spans="1:60" ht="14.25" customHeight="1" x14ac:dyDescent="0.3">
      <c r="A681" s="28"/>
      <c r="B681" s="29"/>
      <c r="C681" s="30"/>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c r="AO681" s="29"/>
      <c r="AP681" s="29"/>
      <c r="AQ681" s="29"/>
      <c r="AR681" s="29"/>
      <c r="AS681" s="29"/>
      <c r="AT681" s="29"/>
      <c r="AU681" s="29"/>
      <c r="AV681" s="29"/>
      <c r="AW681" s="29"/>
      <c r="AX681" s="29"/>
      <c r="AY681" s="29"/>
      <c r="AZ681" s="29"/>
      <c r="BA681" s="29"/>
      <c r="BB681" s="29"/>
      <c r="BC681" s="29"/>
      <c r="BD681" s="29"/>
      <c r="BE681" s="29"/>
      <c r="BF681" s="29"/>
      <c r="BG681" s="29"/>
      <c r="BH681" s="29"/>
    </row>
    <row r="682" spans="1:60" ht="14.25" customHeight="1" x14ac:dyDescent="0.3">
      <c r="A682" s="28"/>
      <c r="B682" s="29"/>
      <c r="C682" s="30"/>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J682" s="29"/>
      <c r="AK682" s="29"/>
      <c r="AL682" s="29"/>
      <c r="AM682" s="29"/>
      <c r="AN682" s="29"/>
      <c r="AO682" s="29"/>
      <c r="AP682" s="29"/>
      <c r="AQ682" s="29"/>
      <c r="AR682" s="29"/>
      <c r="AS682" s="29"/>
      <c r="AT682" s="29"/>
      <c r="AU682" s="29"/>
      <c r="AV682" s="29"/>
      <c r="AW682" s="29"/>
      <c r="AX682" s="29"/>
      <c r="AY682" s="29"/>
      <c r="AZ682" s="29"/>
      <c r="BA682" s="29"/>
      <c r="BB682" s="29"/>
      <c r="BC682" s="29"/>
      <c r="BD682" s="29"/>
      <c r="BE682" s="29"/>
      <c r="BF682" s="29"/>
      <c r="BG682" s="29"/>
      <c r="BH682" s="29"/>
    </row>
    <row r="683" spans="1:60" ht="14.25" customHeight="1" x14ac:dyDescent="0.3">
      <c r="A683" s="28"/>
      <c r="B683" s="29"/>
      <c r="C683" s="30"/>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c r="AO683" s="29"/>
      <c r="AP683" s="29"/>
      <c r="AQ683" s="29"/>
      <c r="AR683" s="29"/>
      <c r="AS683" s="29"/>
      <c r="AT683" s="29"/>
      <c r="AU683" s="29"/>
      <c r="AV683" s="29"/>
      <c r="AW683" s="29"/>
      <c r="AX683" s="29"/>
      <c r="AY683" s="29"/>
      <c r="AZ683" s="29"/>
      <c r="BA683" s="29"/>
      <c r="BB683" s="29"/>
      <c r="BC683" s="29"/>
      <c r="BD683" s="29"/>
      <c r="BE683" s="29"/>
      <c r="BF683" s="29"/>
      <c r="BG683" s="29"/>
      <c r="BH683" s="29"/>
    </row>
    <row r="684" spans="1:60" ht="14.25" customHeight="1" x14ac:dyDescent="0.3">
      <c r="A684" s="28"/>
      <c r="B684" s="29"/>
      <c r="C684" s="30"/>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J684" s="29"/>
      <c r="AK684" s="29"/>
      <c r="AL684" s="29"/>
      <c r="AM684" s="29"/>
      <c r="AN684" s="29"/>
      <c r="AO684" s="29"/>
      <c r="AP684" s="29"/>
      <c r="AQ684" s="29"/>
      <c r="AR684" s="29"/>
      <c r="AS684" s="29"/>
      <c r="AT684" s="29"/>
      <c r="AU684" s="29"/>
      <c r="AV684" s="29"/>
      <c r="AW684" s="29"/>
      <c r="AX684" s="29"/>
      <c r="AY684" s="29"/>
      <c r="AZ684" s="29"/>
      <c r="BA684" s="29"/>
      <c r="BB684" s="29"/>
      <c r="BC684" s="29"/>
      <c r="BD684" s="29"/>
      <c r="BE684" s="29"/>
      <c r="BF684" s="29"/>
      <c r="BG684" s="29"/>
      <c r="BH684" s="29"/>
    </row>
    <row r="685" spans="1:60" ht="14.25" customHeight="1" x14ac:dyDescent="0.3">
      <c r="A685" s="28"/>
      <c r="B685" s="29"/>
      <c r="C685" s="30"/>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c r="AO685" s="29"/>
      <c r="AP685" s="29"/>
      <c r="AQ685" s="29"/>
      <c r="AR685" s="29"/>
      <c r="AS685" s="29"/>
      <c r="AT685" s="29"/>
      <c r="AU685" s="29"/>
      <c r="AV685" s="29"/>
      <c r="AW685" s="29"/>
      <c r="AX685" s="29"/>
      <c r="AY685" s="29"/>
      <c r="AZ685" s="29"/>
      <c r="BA685" s="29"/>
      <c r="BB685" s="29"/>
      <c r="BC685" s="29"/>
      <c r="BD685" s="29"/>
      <c r="BE685" s="29"/>
      <c r="BF685" s="29"/>
      <c r="BG685" s="29"/>
      <c r="BH685" s="29"/>
    </row>
    <row r="686" spans="1:60" ht="14.25" customHeight="1" x14ac:dyDescent="0.3">
      <c r="A686" s="28"/>
      <c r="B686" s="29"/>
      <c r="C686" s="30"/>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c r="AK686" s="29"/>
      <c r="AL686" s="29"/>
      <c r="AM686" s="29"/>
      <c r="AN686" s="29"/>
      <c r="AO686" s="29"/>
      <c r="AP686" s="29"/>
      <c r="AQ686" s="29"/>
      <c r="AR686" s="29"/>
      <c r="AS686" s="29"/>
      <c r="AT686" s="29"/>
      <c r="AU686" s="29"/>
      <c r="AV686" s="29"/>
      <c r="AW686" s="29"/>
      <c r="AX686" s="29"/>
      <c r="AY686" s="29"/>
      <c r="AZ686" s="29"/>
      <c r="BA686" s="29"/>
      <c r="BB686" s="29"/>
      <c r="BC686" s="29"/>
      <c r="BD686" s="29"/>
      <c r="BE686" s="29"/>
      <c r="BF686" s="29"/>
      <c r="BG686" s="29"/>
      <c r="BH686" s="29"/>
    </row>
    <row r="687" spans="1:60" ht="14.25" customHeight="1" x14ac:dyDescent="0.3">
      <c r="A687" s="28"/>
      <c r="B687" s="29"/>
      <c r="C687" s="30"/>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c r="AK687" s="29"/>
      <c r="AL687" s="29"/>
      <c r="AM687" s="29"/>
      <c r="AN687" s="29"/>
      <c r="AO687" s="29"/>
      <c r="AP687" s="29"/>
      <c r="AQ687" s="29"/>
      <c r="AR687" s="29"/>
      <c r="AS687" s="29"/>
      <c r="AT687" s="29"/>
      <c r="AU687" s="29"/>
      <c r="AV687" s="29"/>
      <c r="AW687" s="29"/>
      <c r="AX687" s="29"/>
      <c r="AY687" s="29"/>
      <c r="AZ687" s="29"/>
      <c r="BA687" s="29"/>
      <c r="BB687" s="29"/>
      <c r="BC687" s="29"/>
      <c r="BD687" s="29"/>
      <c r="BE687" s="29"/>
      <c r="BF687" s="29"/>
      <c r="BG687" s="29"/>
      <c r="BH687" s="29"/>
    </row>
    <row r="688" spans="1:60" ht="14.25" customHeight="1" x14ac:dyDescent="0.3">
      <c r="A688" s="28"/>
      <c r="B688" s="29"/>
      <c r="C688" s="30"/>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29"/>
      <c r="AI688" s="29"/>
      <c r="AJ688" s="29"/>
      <c r="AK688" s="29"/>
      <c r="AL688" s="29"/>
      <c r="AM688" s="29"/>
      <c r="AN688" s="29"/>
      <c r="AO688" s="29"/>
      <c r="AP688" s="29"/>
      <c r="AQ688" s="29"/>
      <c r="AR688" s="29"/>
      <c r="AS688" s="29"/>
      <c r="AT688" s="29"/>
      <c r="AU688" s="29"/>
      <c r="AV688" s="29"/>
      <c r="AW688" s="29"/>
      <c r="AX688" s="29"/>
      <c r="AY688" s="29"/>
      <c r="AZ688" s="29"/>
      <c r="BA688" s="29"/>
      <c r="BB688" s="29"/>
      <c r="BC688" s="29"/>
      <c r="BD688" s="29"/>
      <c r="BE688" s="29"/>
      <c r="BF688" s="29"/>
      <c r="BG688" s="29"/>
      <c r="BH688" s="29"/>
    </row>
    <row r="689" spans="1:60" ht="14.25" customHeight="1" x14ac:dyDescent="0.3">
      <c r="A689" s="28"/>
      <c r="B689" s="29"/>
      <c r="C689" s="30"/>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c r="AR689" s="29"/>
      <c r="AS689" s="29"/>
      <c r="AT689" s="29"/>
      <c r="AU689" s="29"/>
      <c r="AV689" s="29"/>
      <c r="AW689" s="29"/>
      <c r="AX689" s="29"/>
      <c r="AY689" s="29"/>
      <c r="AZ689" s="29"/>
      <c r="BA689" s="29"/>
      <c r="BB689" s="29"/>
      <c r="BC689" s="29"/>
      <c r="BD689" s="29"/>
      <c r="BE689" s="29"/>
      <c r="BF689" s="29"/>
      <c r="BG689" s="29"/>
      <c r="BH689" s="29"/>
    </row>
    <row r="690" spans="1:60" ht="14.25" customHeight="1" x14ac:dyDescent="0.3">
      <c r="A690" s="28"/>
      <c r="B690" s="29"/>
      <c r="C690" s="30"/>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J690" s="29"/>
      <c r="AK690" s="29"/>
      <c r="AL690" s="29"/>
      <c r="AM690" s="29"/>
      <c r="AN690" s="29"/>
      <c r="AO690" s="29"/>
      <c r="AP690" s="29"/>
      <c r="AQ690" s="29"/>
      <c r="AR690" s="29"/>
      <c r="AS690" s="29"/>
      <c r="AT690" s="29"/>
      <c r="AU690" s="29"/>
      <c r="AV690" s="29"/>
      <c r="AW690" s="29"/>
      <c r="AX690" s="29"/>
      <c r="AY690" s="29"/>
      <c r="AZ690" s="29"/>
      <c r="BA690" s="29"/>
      <c r="BB690" s="29"/>
      <c r="BC690" s="29"/>
      <c r="BD690" s="29"/>
      <c r="BE690" s="29"/>
      <c r="BF690" s="29"/>
      <c r="BG690" s="29"/>
      <c r="BH690" s="29"/>
    </row>
    <row r="691" spans="1:60" ht="14.25" customHeight="1" x14ac:dyDescent="0.3">
      <c r="A691" s="28"/>
      <c r="B691" s="29"/>
      <c r="C691" s="30"/>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c r="AO691" s="29"/>
      <c r="AP691" s="29"/>
      <c r="AQ691" s="29"/>
      <c r="AR691" s="29"/>
      <c r="AS691" s="29"/>
      <c r="AT691" s="29"/>
      <c r="AU691" s="29"/>
      <c r="AV691" s="29"/>
      <c r="AW691" s="29"/>
      <c r="AX691" s="29"/>
      <c r="AY691" s="29"/>
      <c r="AZ691" s="29"/>
      <c r="BA691" s="29"/>
      <c r="BB691" s="29"/>
      <c r="BC691" s="29"/>
      <c r="BD691" s="29"/>
      <c r="BE691" s="29"/>
      <c r="BF691" s="29"/>
      <c r="BG691" s="29"/>
      <c r="BH691" s="29"/>
    </row>
    <row r="692" spans="1:60" ht="14.25" customHeight="1" x14ac:dyDescent="0.3">
      <c r="A692" s="28"/>
      <c r="B692" s="29"/>
      <c r="C692" s="30"/>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J692" s="29"/>
      <c r="AK692" s="29"/>
      <c r="AL692" s="29"/>
      <c r="AM692" s="29"/>
      <c r="AN692" s="29"/>
      <c r="AO692" s="29"/>
      <c r="AP692" s="29"/>
      <c r="AQ692" s="29"/>
      <c r="AR692" s="29"/>
      <c r="AS692" s="29"/>
      <c r="AT692" s="29"/>
      <c r="AU692" s="29"/>
      <c r="AV692" s="29"/>
      <c r="AW692" s="29"/>
      <c r="AX692" s="29"/>
      <c r="AY692" s="29"/>
      <c r="AZ692" s="29"/>
      <c r="BA692" s="29"/>
      <c r="BB692" s="29"/>
      <c r="BC692" s="29"/>
      <c r="BD692" s="29"/>
      <c r="BE692" s="29"/>
      <c r="BF692" s="29"/>
      <c r="BG692" s="29"/>
      <c r="BH692" s="29"/>
    </row>
    <row r="693" spans="1:60" ht="14.25" customHeight="1" x14ac:dyDescent="0.3">
      <c r="A693" s="28"/>
      <c r="B693" s="29"/>
      <c r="C693" s="30"/>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c r="AO693" s="29"/>
      <c r="AP693" s="29"/>
      <c r="AQ693" s="29"/>
      <c r="AR693" s="29"/>
      <c r="AS693" s="29"/>
      <c r="AT693" s="29"/>
      <c r="AU693" s="29"/>
      <c r="AV693" s="29"/>
      <c r="AW693" s="29"/>
      <c r="AX693" s="29"/>
      <c r="AY693" s="29"/>
      <c r="AZ693" s="29"/>
      <c r="BA693" s="29"/>
      <c r="BB693" s="29"/>
      <c r="BC693" s="29"/>
      <c r="BD693" s="29"/>
      <c r="BE693" s="29"/>
      <c r="BF693" s="29"/>
      <c r="BG693" s="29"/>
      <c r="BH693" s="29"/>
    </row>
    <row r="694" spans="1:60" ht="14.25" customHeight="1" x14ac:dyDescent="0.3">
      <c r="A694" s="28"/>
      <c r="B694" s="29"/>
      <c r="C694" s="30"/>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J694" s="29"/>
      <c r="AK694" s="29"/>
      <c r="AL694" s="29"/>
      <c r="AM694" s="29"/>
      <c r="AN694" s="29"/>
      <c r="AO694" s="29"/>
      <c r="AP694" s="29"/>
      <c r="AQ694" s="29"/>
      <c r="AR694" s="29"/>
      <c r="AS694" s="29"/>
      <c r="AT694" s="29"/>
      <c r="AU694" s="29"/>
      <c r="AV694" s="29"/>
      <c r="AW694" s="29"/>
      <c r="AX694" s="29"/>
      <c r="AY694" s="29"/>
      <c r="AZ694" s="29"/>
      <c r="BA694" s="29"/>
      <c r="BB694" s="29"/>
      <c r="BC694" s="29"/>
      <c r="BD694" s="29"/>
      <c r="BE694" s="29"/>
      <c r="BF694" s="29"/>
      <c r="BG694" s="29"/>
      <c r="BH694" s="29"/>
    </row>
    <row r="695" spans="1:60" ht="14.25" customHeight="1" x14ac:dyDescent="0.3">
      <c r="A695" s="28"/>
      <c r="B695" s="29"/>
      <c r="C695" s="30"/>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c r="AK695" s="29"/>
      <c r="AL695" s="29"/>
      <c r="AM695" s="29"/>
      <c r="AN695" s="29"/>
      <c r="AO695" s="29"/>
      <c r="AP695" s="29"/>
      <c r="AQ695" s="29"/>
      <c r="AR695" s="29"/>
      <c r="AS695" s="29"/>
      <c r="AT695" s="29"/>
      <c r="AU695" s="29"/>
      <c r="AV695" s="29"/>
      <c r="AW695" s="29"/>
      <c r="AX695" s="29"/>
      <c r="AY695" s="29"/>
      <c r="AZ695" s="29"/>
      <c r="BA695" s="29"/>
      <c r="BB695" s="29"/>
      <c r="BC695" s="29"/>
      <c r="BD695" s="29"/>
      <c r="BE695" s="29"/>
      <c r="BF695" s="29"/>
      <c r="BG695" s="29"/>
      <c r="BH695" s="29"/>
    </row>
    <row r="696" spans="1:60" ht="14.25" customHeight="1" x14ac:dyDescent="0.3">
      <c r="A696" s="28"/>
      <c r="B696" s="29"/>
      <c r="C696" s="30"/>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c r="AH696" s="29"/>
      <c r="AI696" s="29"/>
      <c r="AJ696" s="29"/>
      <c r="AK696" s="29"/>
      <c r="AL696" s="29"/>
      <c r="AM696" s="29"/>
      <c r="AN696" s="29"/>
      <c r="AO696" s="29"/>
      <c r="AP696" s="29"/>
      <c r="AQ696" s="29"/>
      <c r="AR696" s="29"/>
      <c r="AS696" s="29"/>
      <c r="AT696" s="29"/>
      <c r="AU696" s="29"/>
      <c r="AV696" s="29"/>
      <c r="AW696" s="29"/>
      <c r="AX696" s="29"/>
      <c r="AY696" s="29"/>
      <c r="AZ696" s="29"/>
      <c r="BA696" s="29"/>
      <c r="BB696" s="29"/>
      <c r="BC696" s="29"/>
      <c r="BD696" s="29"/>
      <c r="BE696" s="29"/>
      <c r="BF696" s="29"/>
      <c r="BG696" s="29"/>
      <c r="BH696" s="29"/>
    </row>
    <row r="697" spans="1:60" ht="14.25" customHeight="1" x14ac:dyDescent="0.3">
      <c r="A697" s="28"/>
      <c r="B697" s="29"/>
      <c r="C697" s="30"/>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c r="AP697" s="29"/>
      <c r="AQ697" s="29"/>
      <c r="AR697" s="29"/>
      <c r="AS697" s="29"/>
      <c r="AT697" s="29"/>
      <c r="AU697" s="29"/>
      <c r="AV697" s="29"/>
      <c r="AW697" s="29"/>
      <c r="AX697" s="29"/>
      <c r="AY697" s="29"/>
      <c r="AZ697" s="29"/>
      <c r="BA697" s="29"/>
      <c r="BB697" s="29"/>
      <c r="BC697" s="29"/>
      <c r="BD697" s="29"/>
      <c r="BE697" s="29"/>
      <c r="BF697" s="29"/>
      <c r="BG697" s="29"/>
      <c r="BH697" s="29"/>
    </row>
    <row r="698" spans="1:60" ht="14.25" customHeight="1" x14ac:dyDescent="0.3">
      <c r="A698" s="28"/>
      <c r="B698" s="29"/>
      <c r="C698" s="30"/>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29"/>
      <c r="AI698" s="29"/>
      <c r="AJ698" s="29"/>
      <c r="AK698" s="29"/>
      <c r="AL698" s="29"/>
      <c r="AM698" s="29"/>
      <c r="AN698" s="29"/>
      <c r="AO698" s="29"/>
      <c r="AP698" s="29"/>
      <c r="AQ698" s="29"/>
      <c r="AR698" s="29"/>
      <c r="AS698" s="29"/>
      <c r="AT698" s="29"/>
      <c r="AU698" s="29"/>
      <c r="AV698" s="29"/>
      <c r="AW698" s="29"/>
      <c r="AX698" s="29"/>
      <c r="AY698" s="29"/>
      <c r="AZ698" s="29"/>
      <c r="BA698" s="29"/>
      <c r="BB698" s="29"/>
      <c r="BC698" s="29"/>
      <c r="BD698" s="29"/>
      <c r="BE698" s="29"/>
      <c r="BF698" s="29"/>
      <c r="BG698" s="29"/>
      <c r="BH698" s="29"/>
    </row>
    <row r="699" spans="1:60" ht="14.25" customHeight="1" x14ac:dyDescent="0.3">
      <c r="A699" s="28"/>
      <c r="B699" s="29"/>
      <c r="C699" s="30"/>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c r="AO699" s="29"/>
      <c r="AP699" s="29"/>
      <c r="AQ699" s="29"/>
      <c r="AR699" s="29"/>
      <c r="AS699" s="29"/>
      <c r="AT699" s="29"/>
      <c r="AU699" s="29"/>
      <c r="AV699" s="29"/>
      <c r="AW699" s="29"/>
      <c r="AX699" s="29"/>
      <c r="AY699" s="29"/>
      <c r="AZ699" s="29"/>
      <c r="BA699" s="29"/>
      <c r="BB699" s="29"/>
      <c r="BC699" s="29"/>
      <c r="BD699" s="29"/>
      <c r="BE699" s="29"/>
      <c r="BF699" s="29"/>
      <c r="BG699" s="29"/>
      <c r="BH699" s="29"/>
    </row>
    <row r="700" spans="1:60" ht="14.25" customHeight="1" x14ac:dyDescent="0.3">
      <c r="A700" s="28"/>
      <c r="B700" s="29"/>
      <c r="C700" s="30"/>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J700" s="29"/>
      <c r="AK700" s="29"/>
      <c r="AL700" s="29"/>
      <c r="AM700" s="29"/>
      <c r="AN700" s="29"/>
      <c r="AO700" s="29"/>
      <c r="AP700" s="29"/>
      <c r="AQ700" s="29"/>
      <c r="AR700" s="29"/>
      <c r="AS700" s="29"/>
      <c r="AT700" s="29"/>
      <c r="AU700" s="29"/>
      <c r="AV700" s="29"/>
      <c r="AW700" s="29"/>
      <c r="AX700" s="29"/>
      <c r="AY700" s="29"/>
      <c r="AZ700" s="29"/>
      <c r="BA700" s="29"/>
      <c r="BB700" s="29"/>
      <c r="BC700" s="29"/>
      <c r="BD700" s="29"/>
      <c r="BE700" s="29"/>
      <c r="BF700" s="29"/>
      <c r="BG700" s="29"/>
      <c r="BH700" s="29"/>
    </row>
    <row r="701" spans="1:60" ht="14.25" customHeight="1" x14ac:dyDescent="0.3">
      <c r="A701" s="28"/>
      <c r="B701" s="29"/>
      <c r="C701" s="30"/>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c r="AO701" s="29"/>
      <c r="AP701" s="29"/>
      <c r="AQ701" s="29"/>
      <c r="AR701" s="29"/>
      <c r="AS701" s="29"/>
      <c r="AT701" s="29"/>
      <c r="AU701" s="29"/>
      <c r="AV701" s="29"/>
      <c r="AW701" s="29"/>
      <c r="AX701" s="29"/>
      <c r="AY701" s="29"/>
      <c r="AZ701" s="29"/>
      <c r="BA701" s="29"/>
      <c r="BB701" s="29"/>
      <c r="BC701" s="29"/>
      <c r="BD701" s="29"/>
      <c r="BE701" s="29"/>
      <c r="BF701" s="29"/>
      <c r="BG701" s="29"/>
      <c r="BH701" s="29"/>
    </row>
    <row r="702" spans="1:60" ht="14.25" customHeight="1" x14ac:dyDescent="0.3">
      <c r="A702" s="28"/>
      <c r="B702" s="29"/>
      <c r="C702" s="30"/>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J702" s="29"/>
      <c r="AK702" s="29"/>
      <c r="AL702" s="29"/>
      <c r="AM702" s="29"/>
      <c r="AN702" s="29"/>
      <c r="AO702" s="29"/>
      <c r="AP702" s="29"/>
      <c r="AQ702" s="29"/>
      <c r="AR702" s="29"/>
      <c r="AS702" s="29"/>
      <c r="AT702" s="29"/>
      <c r="AU702" s="29"/>
      <c r="AV702" s="29"/>
      <c r="AW702" s="29"/>
      <c r="AX702" s="29"/>
      <c r="AY702" s="29"/>
      <c r="AZ702" s="29"/>
      <c r="BA702" s="29"/>
      <c r="BB702" s="29"/>
      <c r="BC702" s="29"/>
      <c r="BD702" s="29"/>
      <c r="BE702" s="29"/>
      <c r="BF702" s="29"/>
      <c r="BG702" s="29"/>
      <c r="BH702" s="29"/>
    </row>
    <row r="703" spans="1:60" ht="14.25" customHeight="1" x14ac:dyDescent="0.3">
      <c r="A703" s="28"/>
      <c r="B703" s="29"/>
      <c r="C703" s="30"/>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c r="AO703" s="29"/>
      <c r="AP703" s="29"/>
      <c r="AQ703" s="29"/>
      <c r="AR703" s="29"/>
      <c r="AS703" s="29"/>
      <c r="AT703" s="29"/>
      <c r="AU703" s="29"/>
      <c r="AV703" s="29"/>
      <c r="AW703" s="29"/>
      <c r="AX703" s="29"/>
      <c r="AY703" s="29"/>
      <c r="AZ703" s="29"/>
      <c r="BA703" s="29"/>
      <c r="BB703" s="29"/>
      <c r="BC703" s="29"/>
      <c r="BD703" s="29"/>
      <c r="BE703" s="29"/>
      <c r="BF703" s="29"/>
      <c r="BG703" s="29"/>
      <c r="BH703" s="29"/>
    </row>
    <row r="704" spans="1:60" ht="14.25" customHeight="1" x14ac:dyDescent="0.3">
      <c r="A704" s="28"/>
      <c r="B704" s="29"/>
      <c r="C704" s="30"/>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J704" s="29"/>
      <c r="AK704" s="29"/>
      <c r="AL704" s="29"/>
      <c r="AM704" s="29"/>
      <c r="AN704" s="29"/>
      <c r="AO704" s="29"/>
      <c r="AP704" s="29"/>
      <c r="AQ704" s="29"/>
      <c r="AR704" s="29"/>
      <c r="AS704" s="29"/>
      <c r="AT704" s="29"/>
      <c r="AU704" s="29"/>
      <c r="AV704" s="29"/>
      <c r="AW704" s="29"/>
      <c r="AX704" s="29"/>
      <c r="AY704" s="29"/>
      <c r="AZ704" s="29"/>
      <c r="BA704" s="29"/>
      <c r="BB704" s="29"/>
      <c r="BC704" s="29"/>
      <c r="BD704" s="29"/>
      <c r="BE704" s="29"/>
      <c r="BF704" s="29"/>
      <c r="BG704" s="29"/>
      <c r="BH704" s="29"/>
    </row>
    <row r="705" spans="1:60" ht="14.25" customHeight="1" x14ac:dyDescent="0.3">
      <c r="A705" s="28"/>
      <c r="B705" s="29"/>
      <c r="C705" s="30"/>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c r="AO705" s="29"/>
      <c r="AP705" s="29"/>
      <c r="AQ705" s="29"/>
      <c r="AR705" s="29"/>
      <c r="AS705" s="29"/>
      <c r="AT705" s="29"/>
      <c r="AU705" s="29"/>
      <c r="AV705" s="29"/>
      <c r="AW705" s="29"/>
      <c r="AX705" s="29"/>
      <c r="AY705" s="29"/>
      <c r="AZ705" s="29"/>
      <c r="BA705" s="29"/>
      <c r="BB705" s="29"/>
      <c r="BC705" s="29"/>
      <c r="BD705" s="29"/>
      <c r="BE705" s="29"/>
      <c r="BF705" s="29"/>
      <c r="BG705" s="29"/>
      <c r="BH705" s="29"/>
    </row>
    <row r="706" spans="1:60" ht="14.25" customHeight="1" x14ac:dyDescent="0.3">
      <c r="A706" s="28"/>
      <c r="B706" s="29"/>
      <c r="C706" s="30"/>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29"/>
      <c r="AI706" s="29"/>
      <c r="AJ706" s="29"/>
      <c r="AK706" s="29"/>
      <c r="AL706" s="29"/>
      <c r="AM706" s="29"/>
      <c r="AN706" s="29"/>
      <c r="AO706" s="29"/>
      <c r="AP706" s="29"/>
      <c r="AQ706" s="29"/>
      <c r="AR706" s="29"/>
      <c r="AS706" s="29"/>
      <c r="AT706" s="29"/>
      <c r="AU706" s="29"/>
      <c r="AV706" s="29"/>
      <c r="AW706" s="29"/>
      <c r="AX706" s="29"/>
      <c r="AY706" s="29"/>
      <c r="AZ706" s="29"/>
      <c r="BA706" s="29"/>
      <c r="BB706" s="29"/>
      <c r="BC706" s="29"/>
      <c r="BD706" s="29"/>
      <c r="BE706" s="29"/>
      <c r="BF706" s="29"/>
      <c r="BG706" s="29"/>
      <c r="BH706" s="29"/>
    </row>
    <row r="707" spans="1:60" ht="14.25" customHeight="1" x14ac:dyDescent="0.3">
      <c r="A707" s="28"/>
      <c r="B707" s="29"/>
      <c r="C707" s="30"/>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c r="AK707" s="29"/>
      <c r="AL707" s="29"/>
      <c r="AM707" s="29"/>
      <c r="AN707" s="29"/>
      <c r="AO707" s="29"/>
      <c r="AP707" s="29"/>
      <c r="AQ707" s="29"/>
      <c r="AR707" s="29"/>
      <c r="AS707" s="29"/>
      <c r="AT707" s="29"/>
      <c r="AU707" s="29"/>
      <c r="AV707" s="29"/>
      <c r="AW707" s="29"/>
      <c r="AX707" s="29"/>
      <c r="AY707" s="29"/>
      <c r="AZ707" s="29"/>
      <c r="BA707" s="29"/>
      <c r="BB707" s="29"/>
      <c r="BC707" s="29"/>
      <c r="BD707" s="29"/>
      <c r="BE707" s="29"/>
      <c r="BF707" s="29"/>
      <c r="BG707" s="29"/>
      <c r="BH707" s="29"/>
    </row>
    <row r="708" spans="1:60" ht="14.25" customHeight="1" x14ac:dyDescent="0.3">
      <c r="A708" s="28"/>
      <c r="B708" s="29"/>
      <c r="C708" s="30"/>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c r="AJ708" s="29"/>
      <c r="AK708" s="29"/>
      <c r="AL708" s="29"/>
      <c r="AM708" s="29"/>
      <c r="AN708" s="29"/>
      <c r="AO708" s="29"/>
      <c r="AP708" s="29"/>
      <c r="AQ708" s="29"/>
      <c r="AR708" s="29"/>
      <c r="AS708" s="29"/>
      <c r="AT708" s="29"/>
      <c r="AU708" s="29"/>
      <c r="AV708" s="29"/>
      <c r="AW708" s="29"/>
      <c r="AX708" s="29"/>
      <c r="AY708" s="29"/>
      <c r="AZ708" s="29"/>
      <c r="BA708" s="29"/>
      <c r="BB708" s="29"/>
      <c r="BC708" s="29"/>
      <c r="BD708" s="29"/>
      <c r="BE708" s="29"/>
      <c r="BF708" s="29"/>
      <c r="BG708" s="29"/>
      <c r="BH708" s="29"/>
    </row>
    <row r="709" spans="1:60" ht="14.25" customHeight="1" x14ac:dyDescent="0.3">
      <c r="A709" s="28"/>
      <c r="B709" s="29"/>
      <c r="C709" s="30"/>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c r="AK709" s="29"/>
      <c r="AL709" s="29"/>
      <c r="AM709" s="29"/>
      <c r="AN709" s="29"/>
      <c r="AO709" s="29"/>
      <c r="AP709" s="29"/>
      <c r="AQ709" s="29"/>
      <c r="AR709" s="29"/>
      <c r="AS709" s="29"/>
      <c r="AT709" s="29"/>
      <c r="AU709" s="29"/>
      <c r="AV709" s="29"/>
      <c r="AW709" s="29"/>
      <c r="AX709" s="29"/>
      <c r="AY709" s="29"/>
      <c r="AZ709" s="29"/>
      <c r="BA709" s="29"/>
      <c r="BB709" s="29"/>
      <c r="BC709" s="29"/>
      <c r="BD709" s="29"/>
      <c r="BE709" s="29"/>
      <c r="BF709" s="29"/>
      <c r="BG709" s="29"/>
      <c r="BH709" s="29"/>
    </row>
    <row r="710" spans="1:60" ht="14.25" customHeight="1" x14ac:dyDescent="0.3">
      <c r="A710" s="28"/>
      <c r="B710" s="29"/>
      <c r="C710" s="30"/>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c r="AH710" s="29"/>
      <c r="AI710" s="29"/>
      <c r="AJ710" s="29"/>
      <c r="AK710" s="29"/>
      <c r="AL710" s="29"/>
      <c r="AM710" s="29"/>
      <c r="AN710" s="29"/>
      <c r="AO710" s="29"/>
      <c r="AP710" s="29"/>
      <c r="AQ710" s="29"/>
      <c r="AR710" s="29"/>
      <c r="AS710" s="29"/>
      <c r="AT710" s="29"/>
      <c r="AU710" s="29"/>
      <c r="AV710" s="29"/>
      <c r="AW710" s="29"/>
      <c r="AX710" s="29"/>
      <c r="AY710" s="29"/>
      <c r="AZ710" s="29"/>
      <c r="BA710" s="29"/>
      <c r="BB710" s="29"/>
      <c r="BC710" s="29"/>
      <c r="BD710" s="29"/>
      <c r="BE710" s="29"/>
      <c r="BF710" s="29"/>
      <c r="BG710" s="29"/>
      <c r="BH710" s="29"/>
    </row>
    <row r="711" spans="1:60" ht="14.25" customHeight="1" x14ac:dyDescent="0.3">
      <c r="A711" s="28"/>
      <c r="B711" s="29"/>
      <c r="C711" s="30"/>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c r="AK711" s="29"/>
      <c r="AL711" s="29"/>
      <c r="AM711" s="29"/>
      <c r="AN711" s="29"/>
      <c r="AO711" s="29"/>
      <c r="AP711" s="29"/>
      <c r="AQ711" s="29"/>
      <c r="AR711" s="29"/>
      <c r="AS711" s="29"/>
      <c r="AT711" s="29"/>
      <c r="AU711" s="29"/>
      <c r="AV711" s="29"/>
      <c r="AW711" s="29"/>
      <c r="AX711" s="29"/>
      <c r="AY711" s="29"/>
      <c r="AZ711" s="29"/>
      <c r="BA711" s="29"/>
      <c r="BB711" s="29"/>
      <c r="BC711" s="29"/>
      <c r="BD711" s="29"/>
      <c r="BE711" s="29"/>
      <c r="BF711" s="29"/>
      <c r="BG711" s="29"/>
      <c r="BH711" s="29"/>
    </row>
    <row r="712" spans="1:60" ht="14.25" customHeight="1" x14ac:dyDescent="0.3">
      <c r="A712" s="28"/>
      <c r="B712" s="29"/>
      <c r="C712" s="30"/>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29"/>
      <c r="AI712" s="29"/>
      <c r="AJ712" s="29"/>
      <c r="AK712" s="29"/>
      <c r="AL712" s="29"/>
      <c r="AM712" s="29"/>
      <c r="AN712" s="29"/>
      <c r="AO712" s="29"/>
      <c r="AP712" s="29"/>
      <c r="AQ712" s="29"/>
      <c r="AR712" s="29"/>
      <c r="AS712" s="29"/>
      <c r="AT712" s="29"/>
      <c r="AU712" s="29"/>
      <c r="AV712" s="29"/>
      <c r="AW712" s="29"/>
      <c r="AX712" s="29"/>
      <c r="AY712" s="29"/>
      <c r="AZ712" s="29"/>
      <c r="BA712" s="29"/>
      <c r="BB712" s="29"/>
      <c r="BC712" s="29"/>
      <c r="BD712" s="29"/>
      <c r="BE712" s="29"/>
      <c r="BF712" s="29"/>
      <c r="BG712" s="29"/>
      <c r="BH712" s="29"/>
    </row>
    <row r="713" spans="1:60" ht="14.25" customHeight="1" x14ac:dyDescent="0.3">
      <c r="A713" s="28"/>
      <c r="B713" s="29"/>
      <c r="C713" s="30"/>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c r="AN713" s="29"/>
      <c r="AO713" s="29"/>
      <c r="AP713" s="29"/>
      <c r="AQ713" s="29"/>
      <c r="AR713" s="29"/>
      <c r="AS713" s="29"/>
      <c r="AT713" s="29"/>
      <c r="AU713" s="29"/>
      <c r="AV713" s="29"/>
      <c r="AW713" s="29"/>
      <c r="AX713" s="29"/>
      <c r="AY713" s="29"/>
      <c r="AZ713" s="29"/>
      <c r="BA713" s="29"/>
      <c r="BB713" s="29"/>
      <c r="BC713" s="29"/>
      <c r="BD713" s="29"/>
      <c r="BE713" s="29"/>
      <c r="BF713" s="29"/>
      <c r="BG713" s="29"/>
      <c r="BH713" s="29"/>
    </row>
    <row r="714" spans="1:60" ht="14.25" customHeight="1" x14ac:dyDescent="0.3">
      <c r="A714" s="28"/>
      <c r="B714" s="29"/>
      <c r="C714" s="30"/>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c r="AJ714" s="29"/>
      <c r="AK714" s="29"/>
      <c r="AL714" s="29"/>
      <c r="AM714" s="29"/>
      <c r="AN714" s="29"/>
      <c r="AO714" s="29"/>
      <c r="AP714" s="29"/>
      <c r="AQ714" s="29"/>
      <c r="AR714" s="29"/>
      <c r="AS714" s="29"/>
      <c r="AT714" s="29"/>
      <c r="AU714" s="29"/>
      <c r="AV714" s="29"/>
      <c r="AW714" s="29"/>
      <c r="AX714" s="29"/>
      <c r="AY714" s="29"/>
      <c r="AZ714" s="29"/>
      <c r="BA714" s="29"/>
      <c r="BB714" s="29"/>
      <c r="BC714" s="29"/>
      <c r="BD714" s="29"/>
      <c r="BE714" s="29"/>
      <c r="BF714" s="29"/>
      <c r="BG714" s="29"/>
      <c r="BH714" s="29"/>
    </row>
    <row r="715" spans="1:60" ht="14.25" customHeight="1" x14ac:dyDescent="0.3">
      <c r="A715" s="28"/>
      <c r="B715" s="29"/>
      <c r="C715" s="30"/>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c r="AK715" s="29"/>
      <c r="AL715" s="29"/>
      <c r="AM715" s="29"/>
      <c r="AN715" s="29"/>
      <c r="AO715" s="29"/>
      <c r="AP715" s="29"/>
      <c r="AQ715" s="29"/>
      <c r="AR715" s="29"/>
      <c r="AS715" s="29"/>
      <c r="AT715" s="29"/>
      <c r="AU715" s="29"/>
      <c r="AV715" s="29"/>
      <c r="AW715" s="29"/>
      <c r="AX715" s="29"/>
      <c r="AY715" s="29"/>
      <c r="AZ715" s="29"/>
      <c r="BA715" s="29"/>
      <c r="BB715" s="29"/>
      <c r="BC715" s="29"/>
      <c r="BD715" s="29"/>
      <c r="BE715" s="29"/>
      <c r="BF715" s="29"/>
      <c r="BG715" s="29"/>
      <c r="BH715" s="29"/>
    </row>
    <row r="716" spans="1:60" ht="14.25" customHeight="1" x14ac:dyDescent="0.3">
      <c r="A716" s="28"/>
      <c r="B716" s="29"/>
      <c r="C716" s="30"/>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c r="AJ716" s="29"/>
      <c r="AK716" s="29"/>
      <c r="AL716" s="29"/>
      <c r="AM716" s="29"/>
      <c r="AN716" s="29"/>
      <c r="AO716" s="29"/>
      <c r="AP716" s="29"/>
      <c r="AQ716" s="29"/>
      <c r="AR716" s="29"/>
      <c r="AS716" s="29"/>
      <c r="AT716" s="29"/>
      <c r="AU716" s="29"/>
      <c r="AV716" s="29"/>
      <c r="AW716" s="29"/>
      <c r="AX716" s="29"/>
      <c r="AY716" s="29"/>
      <c r="AZ716" s="29"/>
      <c r="BA716" s="29"/>
      <c r="BB716" s="29"/>
      <c r="BC716" s="29"/>
      <c r="BD716" s="29"/>
      <c r="BE716" s="29"/>
      <c r="BF716" s="29"/>
      <c r="BG716" s="29"/>
      <c r="BH716" s="29"/>
    </row>
    <row r="717" spans="1:60" ht="14.25" customHeight="1" x14ac:dyDescent="0.3">
      <c r="A717" s="28"/>
      <c r="B717" s="29"/>
      <c r="C717" s="30"/>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c r="AN717" s="29"/>
      <c r="AO717" s="29"/>
      <c r="AP717" s="29"/>
      <c r="AQ717" s="29"/>
      <c r="AR717" s="29"/>
      <c r="AS717" s="29"/>
      <c r="AT717" s="29"/>
      <c r="AU717" s="29"/>
      <c r="AV717" s="29"/>
      <c r="AW717" s="29"/>
      <c r="AX717" s="29"/>
      <c r="AY717" s="29"/>
      <c r="AZ717" s="29"/>
      <c r="BA717" s="29"/>
      <c r="BB717" s="29"/>
      <c r="BC717" s="29"/>
      <c r="BD717" s="29"/>
      <c r="BE717" s="29"/>
      <c r="BF717" s="29"/>
      <c r="BG717" s="29"/>
      <c r="BH717" s="29"/>
    </row>
    <row r="718" spans="1:60" ht="14.25" customHeight="1" x14ac:dyDescent="0.3">
      <c r="A718" s="28"/>
      <c r="B718" s="29"/>
      <c r="C718" s="30"/>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c r="AK718" s="29"/>
      <c r="AL718" s="29"/>
      <c r="AM718" s="29"/>
      <c r="AN718" s="29"/>
      <c r="AO718" s="29"/>
      <c r="AP718" s="29"/>
      <c r="AQ718" s="29"/>
      <c r="AR718" s="29"/>
      <c r="AS718" s="29"/>
      <c r="AT718" s="29"/>
      <c r="AU718" s="29"/>
      <c r="AV718" s="29"/>
      <c r="AW718" s="29"/>
      <c r="AX718" s="29"/>
      <c r="AY718" s="29"/>
      <c r="AZ718" s="29"/>
      <c r="BA718" s="29"/>
      <c r="BB718" s="29"/>
      <c r="BC718" s="29"/>
      <c r="BD718" s="29"/>
      <c r="BE718" s="29"/>
      <c r="BF718" s="29"/>
      <c r="BG718" s="29"/>
      <c r="BH718" s="29"/>
    </row>
    <row r="719" spans="1:60" ht="14.25" customHeight="1" x14ac:dyDescent="0.3">
      <c r="A719" s="28"/>
      <c r="B719" s="29"/>
      <c r="C719" s="30"/>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c r="AN719" s="29"/>
      <c r="AO719" s="29"/>
      <c r="AP719" s="29"/>
      <c r="AQ719" s="29"/>
      <c r="AR719" s="29"/>
      <c r="AS719" s="29"/>
      <c r="AT719" s="29"/>
      <c r="AU719" s="29"/>
      <c r="AV719" s="29"/>
      <c r="AW719" s="29"/>
      <c r="AX719" s="29"/>
      <c r="AY719" s="29"/>
      <c r="AZ719" s="29"/>
      <c r="BA719" s="29"/>
      <c r="BB719" s="29"/>
      <c r="BC719" s="29"/>
      <c r="BD719" s="29"/>
      <c r="BE719" s="29"/>
      <c r="BF719" s="29"/>
      <c r="BG719" s="29"/>
      <c r="BH719" s="29"/>
    </row>
    <row r="720" spans="1:60" ht="14.25" customHeight="1" x14ac:dyDescent="0.3">
      <c r="A720" s="28"/>
      <c r="B720" s="29"/>
      <c r="C720" s="30"/>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J720" s="29"/>
      <c r="AK720" s="29"/>
      <c r="AL720" s="29"/>
      <c r="AM720" s="29"/>
      <c r="AN720" s="29"/>
      <c r="AO720" s="29"/>
      <c r="AP720" s="29"/>
      <c r="AQ720" s="29"/>
      <c r="AR720" s="29"/>
      <c r="AS720" s="29"/>
      <c r="AT720" s="29"/>
      <c r="AU720" s="29"/>
      <c r="AV720" s="29"/>
      <c r="AW720" s="29"/>
      <c r="AX720" s="29"/>
      <c r="AY720" s="29"/>
      <c r="AZ720" s="29"/>
      <c r="BA720" s="29"/>
      <c r="BB720" s="29"/>
      <c r="BC720" s="29"/>
      <c r="BD720" s="29"/>
      <c r="BE720" s="29"/>
      <c r="BF720" s="29"/>
      <c r="BG720" s="29"/>
      <c r="BH720" s="29"/>
    </row>
    <row r="721" spans="1:60" ht="14.25" customHeight="1" x14ac:dyDescent="0.3">
      <c r="A721" s="28"/>
      <c r="B721" s="29"/>
      <c r="C721" s="30"/>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c r="AR721" s="29"/>
      <c r="AS721" s="29"/>
      <c r="AT721" s="29"/>
      <c r="AU721" s="29"/>
      <c r="AV721" s="29"/>
      <c r="AW721" s="29"/>
      <c r="AX721" s="29"/>
      <c r="AY721" s="29"/>
      <c r="AZ721" s="29"/>
      <c r="BA721" s="29"/>
      <c r="BB721" s="29"/>
      <c r="BC721" s="29"/>
      <c r="BD721" s="29"/>
      <c r="BE721" s="29"/>
      <c r="BF721" s="29"/>
      <c r="BG721" s="29"/>
      <c r="BH721" s="29"/>
    </row>
    <row r="722" spans="1:60" ht="14.25" customHeight="1" x14ac:dyDescent="0.3">
      <c r="A722" s="28"/>
      <c r="B722" s="29"/>
      <c r="C722" s="30"/>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c r="AK722" s="29"/>
      <c r="AL722" s="29"/>
      <c r="AM722" s="29"/>
      <c r="AN722" s="29"/>
      <c r="AO722" s="29"/>
      <c r="AP722" s="29"/>
      <c r="AQ722" s="29"/>
      <c r="AR722" s="29"/>
      <c r="AS722" s="29"/>
      <c r="AT722" s="29"/>
      <c r="AU722" s="29"/>
      <c r="AV722" s="29"/>
      <c r="AW722" s="29"/>
      <c r="AX722" s="29"/>
      <c r="AY722" s="29"/>
      <c r="AZ722" s="29"/>
      <c r="BA722" s="29"/>
      <c r="BB722" s="29"/>
      <c r="BC722" s="29"/>
      <c r="BD722" s="29"/>
      <c r="BE722" s="29"/>
      <c r="BF722" s="29"/>
      <c r="BG722" s="29"/>
      <c r="BH722" s="29"/>
    </row>
    <row r="723" spans="1:60" ht="14.25" customHeight="1" x14ac:dyDescent="0.3">
      <c r="A723" s="28"/>
      <c r="B723" s="29"/>
      <c r="C723" s="30"/>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c r="AN723" s="29"/>
      <c r="AO723" s="29"/>
      <c r="AP723" s="29"/>
      <c r="AQ723" s="29"/>
      <c r="AR723" s="29"/>
      <c r="AS723" s="29"/>
      <c r="AT723" s="29"/>
      <c r="AU723" s="29"/>
      <c r="AV723" s="29"/>
      <c r="AW723" s="29"/>
      <c r="AX723" s="29"/>
      <c r="AY723" s="29"/>
      <c r="AZ723" s="29"/>
      <c r="BA723" s="29"/>
      <c r="BB723" s="29"/>
      <c r="BC723" s="29"/>
      <c r="BD723" s="29"/>
      <c r="BE723" s="29"/>
      <c r="BF723" s="29"/>
      <c r="BG723" s="29"/>
      <c r="BH723" s="29"/>
    </row>
    <row r="724" spans="1:60" ht="14.25" customHeight="1" x14ac:dyDescent="0.3">
      <c r="A724" s="28"/>
      <c r="B724" s="29"/>
      <c r="C724" s="30"/>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29"/>
      <c r="AI724" s="29"/>
      <c r="AJ724" s="29"/>
      <c r="AK724" s="29"/>
      <c r="AL724" s="29"/>
      <c r="AM724" s="29"/>
      <c r="AN724" s="29"/>
      <c r="AO724" s="29"/>
      <c r="AP724" s="29"/>
      <c r="AQ724" s="29"/>
      <c r="AR724" s="29"/>
      <c r="AS724" s="29"/>
      <c r="AT724" s="29"/>
      <c r="AU724" s="29"/>
      <c r="AV724" s="29"/>
      <c r="AW724" s="29"/>
      <c r="AX724" s="29"/>
      <c r="AY724" s="29"/>
      <c r="AZ724" s="29"/>
      <c r="BA724" s="29"/>
      <c r="BB724" s="29"/>
      <c r="BC724" s="29"/>
      <c r="BD724" s="29"/>
      <c r="BE724" s="29"/>
      <c r="BF724" s="29"/>
      <c r="BG724" s="29"/>
      <c r="BH724" s="29"/>
    </row>
    <row r="725" spans="1:60" ht="14.25" customHeight="1" x14ac:dyDescent="0.3">
      <c r="A725" s="28"/>
      <c r="B725" s="29"/>
      <c r="C725" s="30"/>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c r="AO725" s="29"/>
      <c r="AP725" s="29"/>
      <c r="AQ725" s="29"/>
      <c r="AR725" s="29"/>
      <c r="AS725" s="29"/>
      <c r="AT725" s="29"/>
      <c r="AU725" s="29"/>
      <c r="AV725" s="29"/>
      <c r="AW725" s="29"/>
      <c r="AX725" s="29"/>
      <c r="AY725" s="29"/>
      <c r="AZ725" s="29"/>
      <c r="BA725" s="29"/>
      <c r="BB725" s="29"/>
      <c r="BC725" s="29"/>
      <c r="BD725" s="29"/>
      <c r="BE725" s="29"/>
      <c r="BF725" s="29"/>
      <c r="BG725" s="29"/>
      <c r="BH725" s="29"/>
    </row>
    <row r="726" spans="1:60" ht="14.25" customHeight="1" x14ac:dyDescent="0.3">
      <c r="A726" s="28"/>
      <c r="B726" s="29"/>
      <c r="C726" s="30"/>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c r="AH726" s="29"/>
      <c r="AI726" s="29"/>
      <c r="AJ726" s="29"/>
      <c r="AK726" s="29"/>
      <c r="AL726" s="29"/>
      <c r="AM726" s="29"/>
      <c r="AN726" s="29"/>
      <c r="AO726" s="29"/>
      <c r="AP726" s="29"/>
      <c r="AQ726" s="29"/>
      <c r="AR726" s="29"/>
      <c r="AS726" s="29"/>
      <c r="AT726" s="29"/>
      <c r="AU726" s="29"/>
      <c r="AV726" s="29"/>
      <c r="AW726" s="29"/>
      <c r="AX726" s="29"/>
      <c r="AY726" s="29"/>
      <c r="AZ726" s="29"/>
      <c r="BA726" s="29"/>
      <c r="BB726" s="29"/>
      <c r="BC726" s="29"/>
      <c r="BD726" s="29"/>
      <c r="BE726" s="29"/>
      <c r="BF726" s="29"/>
      <c r="BG726" s="29"/>
      <c r="BH726" s="29"/>
    </row>
    <row r="727" spans="1:60" ht="14.25" customHeight="1" x14ac:dyDescent="0.3">
      <c r="A727" s="28"/>
      <c r="B727" s="29"/>
      <c r="C727" s="30"/>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c r="AR727" s="29"/>
      <c r="AS727" s="29"/>
      <c r="AT727" s="29"/>
      <c r="AU727" s="29"/>
      <c r="AV727" s="29"/>
      <c r="AW727" s="29"/>
      <c r="AX727" s="29"/>
      <c r="AY727" s="29"/>
      <c r="AZ727" s="29"/>
      <c r="BA727" s="29"/>
      <c r="BB727" s="29"/>
      <c r="BC727" s="29"/>
      <c r="BD727" s="29"/>
      <c r="BE727" s="29"/>
      <c r="BF727" s="29"/>
      <c r="BG727" s="29"/>
      <c r="BH727" s="29"/>
    </row>
    <row r="728" spans="1:60" ht="14.25" customHeight="1" x14ac:dyDescent="0.3">
      <c r="A728" s="28"/>
      <c r="B728" s="29"/>
      <c r="C728" s="30"/>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c r="AJ728" s="29"/>
      <c r="AK728" s="29"/>
      <c r="AL728" s="29"/>
      <c r="AM728" s="29"/>
      <c r="AN728" s="29"/>
      <c r="AO728" s="29"/>
      <c r="AP728" s="29"/>
      <c r="AQ728" s="29"/>
      <c r="AR728" s="29"/>
      <c r="AS728" s="29"/>
      <c r="AT728" s="29"/>
      <c r="AU728" s="29"/>
      <c r="AV728" s="29"/>
      <c r="AW728" s="29"/>
      <c r="AX728" s="29"/>
      <c r="AY728" s="29"/>
      <c r="AZ728" s="29"/>
      <c r="BA728" s="29"/>
      <c r="BB728" s="29"/>
      <c r="BC728" s="29"/>
      <c r="BD728" s="29"/>
      <c r="BE728" s="29"/>
      <c r="BF728" s="29"/>
      <c r="BG728" s="29"/>
      <c r="BH728" s="29"/>
    </row>
    <row r="729" spans="1:60" ht="14.25" customHeight="1" x14ac:dyDescent="0.3">
      <c r="A729" s="28"/>
      <c r="B729" s="29"/>
      <c r="C729" s="30"/>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c r="AR729" s="29"/>
      <c r="AS729" s="29"/>
      <c r="AT729" s="29"/>
      <c r="AU729" s="29"/>
      <c r="AV729" s="29"/>
      <c r="AW729" s="29"/>
      <c r="AX729" s="29"/>
      <c r="AY729" s="29"/>
      <c r="AZ729" s="29"/>
      <c r="BA729" s="29"/>
      <c r="BB729" s="29"/>
      <c r="BC729" s="29"/>
      <c r="BD729" s="29"/>
      <c r="BE729" s="29"/>
      <c r="BF729" s="29"/>
      <c r="BG729" s="29"/>
      <c r="BH729" s="29"/>
    </row>
    <row r="730" spans="1:60" ht="14.25" customHeight="1" x14ac:dyDescent="0.3">
      <c r="A730" s="28"/>
      <c r="B730" s="29"/>
      <c r="C730" s="30"/>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c r="AK730" s="29"/>
      <c r="AL730" s="29"/>
      <c r="AM730" s="29"/>
      <c r="AN730" s="29"/>
      <c r="AO730" s="29"/>
      <c r="AP730" s="29"/>
      <c r="AQ730" s="29"/>
      <c r="AR730" s="29"/>
      <c r="AS730" s="29"/>
      <c r="AT730" s="29"/>
      <c r="AU730" s="29"/>
      <c r="AV730" s="29"/>
      <c r="AW730" s="29"/>
      <c r="AX730" s="29"/>
      <c r="AY730" s="29"/>
      <c r="AZ730" s="29"/>
      <c r="BA730" s="29"/>
      <c r="BB730" s="29"/>
      <c r="BC730" s="29"/>
      <c r="BD730" s="29"/>
      <c r="BE730" s="29"/>
      <c r="BF730" s="29"/>
      <c r="BG730" s="29"/>
      <c r="BH730" s="29"/>
    </row>
    <row r="731" spans="1:60" ht="14.25" customHeight="1" x14ac:dyDescent="0.3">
      <c r="A731" s="28"/>
      <c r="B731" s="29"/>
      <c r="C731" s="30"/>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c r="AR731" s="29"/>
      <c r="AS731" s="29"/>
      <c r="AT731" s="29"/>
      <c r="AU731" s="29"/>
      <c r="AV731" s="29"/>
      <c r="AW731" s="29"/>
      <c r="AX731" s="29"/>
      <c r="AY731" s="29"/>
      <c r="AZ731" s="29"/>
      <c r="BA731" s="29"/>
      <c r="BB731" s="29"/>
      <c r="BC731" s="29"/>
      <c r="BD731" s="29"/>
      <c r="BE731" s="29"/>
      <c r="BF731" s="29"/>
      <c r="BG731" s="29"/>
      <c r="BH731" s="29"/>
    </row>
    <row r="732" spans="1:60" ht="14.25" customHeight="1" x14ac:dyDescent="0.3">
      <c r="A732" s="28"/>
      <c r="B732" s="29"/>
      <c r="C732" s="30"/>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J732" s="29"/>
      <c r="AK732" s="29"/>
      <c r="AL732" s="29"/>
      <c r="AM732" s="29"/>
      <c r="AN732" s="29"/>
      <c r="AO732" s="29"/>
      <c r="AP732" s="29"/>
      <c r="AQ732" s="29"/>
      <c r="AR732" s="29"/>
      <c r="AS732" s="29"/>
      <c r="AT732" s="29"/>
      <c r="AU732" s="29"/>
      <c r="AV732" s="29"/>
      <c r="AW732" s="29"/>
      <c r="AX732" s="29"/>
      <c r="AY732" s="29"/>
      <c r="AZ732" s="29"/>
      <c r="BA732" s="29"/>
      <c r="BB732" s="29"/>
      <c r="BC732" s="29"/>
      <c r="BD732" s="29"/>
      <c r="BE732" s="29"/>
      <c r="BF732" s="29"/>
      <c r="BG732" s="29"/>
      <c r="BH732" s="29"/>
    </row>
    <row r="733" spans="1:60" ht="14.25" customHeight="1" x14ac:dyDescent="0.3">
      <c r="A733" s="28"/>
      <c r="B733" s="29"/>
      <c r="C733" s="30"/>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c r="AN733" s="29"/>
      <c r="AO733" s="29"/>
      <c r="AP733" s="29"/>
      <c r="AQ733" s="29"/>
      <c r="AR733" s="29"/>
      <c r="AS733" s="29"/>
      <c r="AT733" s="29"/>
      <c r="AU733" s="29"/>
      <c r="AV733" s="29"/>
      <c r="AW733" s="29"/>
      <c r="AX733" s="29"/>
      <c r="AY733" s="29"/>
      <c r="AZ733" s="29"/>
      <c r="BA733" s="29"/>
      <c r="BB733" s="29"/>
      <c r="BC733" s="29"/>
      <c r="BD733" s="29"/>
      <c r="BE733" s="29"/>
      <c r="BF733" s="29"/>
      <c r="BG733" s="29"/>
      <c r="BH733" s="29"/>
    </row>
    <row r="734" spans="1:60" ht="14.25" customHeight="1" x14ac:dyDescent="0.3">
      <c r="A734" s="28"/>
      <c r="B734" s="29"/>
      <c r="C734" s="30"/>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c r="AJ734" s="29"/>
      <c r="AK734" s="29"/>
      <c r="AL734" s="29"/>
      <c r="AM734" s="29"/>
      <c r="AN734" s="29"/>
      <c r="AO734" s="29"/>
      <c r="AP734" s="29"/>
      <c r="AQ734" s="29"/>
      <c r="AR734" s="29"/>
      <c r="AS734" s="29"/>
      <c r="AT734" s="29"/>
      <c r="AU734" s="29"/>
      <c r="AV734" s="29"/>
      <c r="AW734" s="29"/>
      <c r="AX734" s="29"/>
      <c r="AY734" s="29"/>
      <c r="AZ734" s="29"/>
      <c r="BA734" s="29"/>
      <c r="BB734" s="29"/>
      <c r="BC734" s="29"/>
      <c r="BD734" s="29"/>
      <c r="BE734" s="29"/>
      <c r="BF734" s="29"/>
      <c r="BG734" s="29"/>
      <c r="BH734" s="29"/>
    </row>
    <row r="735" spans="1:60" ht="14.25" customHeight="1" x14ac:dyDescent="0.3">
      <c r="A735" s="28"/>
      <c r="B735" s="29"/>
      <c r="C735" s="30"/>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c r="AN735" s="29"/>
      <c r="AO735" s="29"/>
      <c r="AP735" s="29"/>
      <c r="AQ735" s="29"/>
      <c r="AR735" s="29"/>
      <c r="AS735" s="29"/>
      <c r="AT735" s="29"/>
      <c r="AU735" s="29"/>
      <c r="AV735" s="29"/>
      <c r="AW735" s="29"/>
      <c r="AX735" s="29"/>
      <c r="AY735" s="29"/>
      <c r="AZ735" s="29"/>
      <c r="BA735" s="29"/>
      <c r="BB735" s="29"/>
      <c r="BC735" s="29"/>
      <c r="BD735" s="29"/>
      <c r="BE735" s="29"/>
      <c r="BF735" s="29"/>
      <c r="BG735" s="29"/>
      <c r="BH735" s="29"/>
    </row>
    <row r="736" spans="1:60" ht="14.25" customHeight="1" x14ac:dyDescent="0.3">
      <c r="A736" s="28"/>
      <c r="B736" s="29"/>
      <c r="C736" s="30"/>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c r="AJ736" s="29"/>
      <c r="AK736" s="29"/>
      <c r="AL736" s="29"/>
      <c r="AM736" s="29"/>
      <c r="AN736" s="29"/>
      <c r="AO736" s="29"/>
      <c r="AP736" s="29"/>
      <c r="AQ736" s="29"/>
      <c r="AR736" s="29"/>
      <c r="AS736" s="29"/>
      <c r="AT736" s="29"/>
      <c r="AU736" s="29"/>
      <c r="AV736" s="29"/>
      <c r="AW736" s="29"/>
      <c r="AX736" s="29"/>
      <c r="AY736" s="29"/>
      <c r="AZ736" s="29"/>
      <c r="BA736" s="29"/>
      <c r="BB736" s="29"/>
      <c r="BC736" s="29"/>
      <c r="BD736" s="29"/>
      <c r="BE736" s="29"/>
      <c r="BF736" s="29"/>
      <c r="BG736" s="29"/>
      <c r="BH736" s="29"/>
    </row>
    <row r="737" spans="1:60" ht="14.25" customHeight="1" x14ac:dyDescent="0.3">
      <c r="A737" s="28"/>
      <c r="B737" s="29"/>
      <c r="C737" s="30"/>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c r="AK737" s="29"/>
      <c r="AL737" s="29"/>
      <c r="AM737" s="29"/>
      <c r="AN737" s="29"/>
      <c r="AO737" s="29"/>
      <c r="AP737" s="29"/>
      <c r="AQ737" s="29"/>
      <c r="AR737" s="29"/>
      <c r="AS737" s="29"/>
      <c r="AT737" s="29"/>
      <c r="AU737" s="29"/>
      <c r="AV737" s="29"/>
      <c r="AW737" s="29"/>
      <c r="AX737" s="29"/>
      <c r="AY737" s="29"/>
      <c r="AZ737" s="29"/>
      <c r="BA737" s="29"/>
      <c r="BB737" s="29"/>
      <c r="BC737" s="29"/>
      <c r="BD737" s="29"/>
      <c r="BE737" s="29"/>
      <c r="BF737" s="29"/>
      <c r="BG737" s="29"/>
      <c r="BH737" s="29"/>
    </row>
    <row r="738" spans="1:60" ht="14.25" customHeight="1" x14ac:dyDescent="0.3">
      <c r="A738" s="28"/>
      <c r="B738" s="29"/>
      <c r="C738" s="30"/>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29"/>
      <c r="AI738" s="29"/>
      <c r="AJ738" s="29"/>
      <c r="AK738" s="29"/>
      <c r="AL738" s="29"/>
      <c r="AM738" s="29"/>
      <c r="AN738" s="29"/>
      <c r="AO738" s="29"/>
      <c r="AP738" s="29"/>
      <c r="AQ738" s="29"/>
      <c r="AR738" s="29"/>
      <c r="AS738" s="29"/>
      <c r="AT738" s="29"/>
      <c r="AU738" s="29"/>
      <c r="AV738" s="29"/>
      <c r="AW738" s="29"/>
      <c r="AX738" s="29"/>
      <c r="AY738" s="29"/>
      <c r="AZ738" s="29"/>
      <c r="BA738" s="29"/>
      <c r="BB738" s="29"/>
      <c r="BC738" s="29"/>
      <c r="BD738" s="29"/>
      <c r="BE738" s="29"/>
      <c r="BF738" s="29"/>
      <c r="BG738" s="29"/>
      <c r="BH738" s="29"/>
    </row>
    <row r="739" spans="1:60" ht="14.25" customHeight="1" x14ac:dyDescent="0.3">
      <c r="A739" s="28"/>
      <c r="B739" s="29"/>
      <c r="C739" s="30"/>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c r="AK739" s="29"/>
      <c r="AL739" s="29"/>
      <c r="AM739" s="29"/>
      <c r="AN739" s="29"/>
      <c r="AO739" s="29"/>
      <c r="AP739" s="29"/>
      <c r="AQ739" s="29"/>
      <c r="AR739" s="29"/>
      <c r="AS739" s="29"/>
      <c r="AT739" s="29"/>
      <c r="AU739" s="29"/>
      <c r="AV739" s="29"/>
      <c r="AW739" s="29"/>
      <c r="AX739" s="29"/>
      <c r="AY739" s="29"/>
      <c r="AZ739" s="29"/>
      <c r="BA739" s="29"/>
      <c r="BB739" s="29"/>
      <c r="BC739" s="29"/>
      <c r="BD739" s="29"/>
      <c r="BE739" s="29"/>
      <c r="BF739" s="29"/>
      <c r="BG739" s="29"/>
      <c r="BH739" s="29"/>
    </row>
    <row r="740" spans="1:60" ht="14.25" customHeight="1" x14ac:dyDescent="0.3">
      <c r="A740" s="28"/>
      <c r="B740" s="29"/>
      <c r="C740" s="30"/>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c r="AH740" s="29"/>
      <c r="AI740" s="29"/>
      <c r="AJ740" s="29"/>
      <c r="AK740" s="29"/>
      <c r="AL740" s="29"/>
      <c r="AM740" s="29"/>
      <c r="AN740" s="29"/>
      <c r="AO740" s="29"/>
      <c r="AP740" s="29"/>
      <c r="AQ740" s="29"/>
      <c r="AR740" s="29"/>
      <c r="AS740" s="29"/>
      <c r="AT740" s="29"/>
      <c r="AU740" s="29"/>
      <c r="AV740" s="29"/>
      <c r="AW740" s="29"/>
      <c r="AX740" s="29"/>
      <c r="AY740" s="29"/>
      <c r="AZ740" s="29"/>
      <c r="BA740" s="29"/>
      <c r="BB740" s="29"/>
      <c r="BC740" s="29"/>
      <c r="BD740" s="29"/>
      <c r="BE740" s="29"/>
      <c r="BF740" s="29"/>
      <c r="BG740" s="29"/>
      <c r="BH740" s="29"/>
    </row>
    <row r="741" spans="1:60" ht="14.25" customHeight="1" x14ac:dyDescent="0.3">
      <c r="A741" s="28"/>
      <c r="B741" s="29"/>
      <c r="C741" s="30"/>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c r="AN741" s="29"/>
      <c r="AO741" s="29"/>
      <c r="AP741" s="29"/>
      <c r="AQ741" s="29"/>
      <c r="AR741" s="29"/>
      <c r="AS741" s="29"/>
      <c r="AT741" s="29"/>
      <c r="AU741" s="29"/>
      <c r="AV741" s="29"/>
      <c r="AW741" s="29"/>
      <c r="AX741" s="29"/>
      <c r="AY741" s="29"/>
      <c r="AZ741" s="29"/>
      <c r="BA741" s="29"/>
      <c r="BB741" s="29"/>
      <c r="BC741" s="29"/>
      <c r="BD741" s="29"/>
      <c r="BE741" s="29"/>
      <c r="BF741" s="29"/>
      <c r="BG741" s="29"/>
      <c r="BH741" s="29"/>
    </row>
    <row r="742" spans="1:60" ht="14.25" customHeight="1" x14ac:dyDescent="0.3">
      <c r="A742" s="28"/>
      <c r="B742" s="29"/>
      <c r="C742" s="30"/>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c r="AH742" s="29"/>
      <c r="AI742" s="29"/>
      <c r="AJ742" s="29"/>
      <c r="AK742" s="29"/>
      <c r="AL742" s="29"/>
      <c r="AM742" s="29"/>
      <c r="AN742" s="29"/>
      <c r="AO742" s="29"/>
      <c r="AP742" s="29"/>
      <c r="AQ742" s="29"/>
      <c r="AR742" s="29"/>
      <c r="AS742" s="29"/>
      <c r="AT742" s="29"/>
      <c r="AU742" s="29"/>
      <c r="AV742" s="29"/>
      <c r="AW742" s="29"/>
      <c r="AX742" s="29"/>
      <c r="AY742" s="29"/>
      <c r="AZ742" s="29"/>
      <c r="BA742" s="29"/>
      <c r="BB742" s="29"/>
      <c r="BC742" s="29"/>
      <c r="BD742" s="29"/>
      <c r="BE742" s="29"/>
      <c r="BF742" s="29"/>
      <c r="BG742" s="29"/>
      <c r="BH742" s="29"/>
    </row>
    <row r="743" spans="1:60" ht="14.25" customHeight="1" x14ac:dyDescent="0.3">
      <c r="A743" s="28"/>
      <c r="B743" s="29"/>
      <c r="C743" s="30"/>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c r="AK743" s="29"/>
      <c r="AL743" s="29"/>
      <c r="AM743" s="29"/>
      <c r="AN743" s="29"/>
      <c r="AO743" s="29"/>
      <c r="AP743" s="29"/>
      <c r="AQ743" s="29"/>
      <c r="AR743" s="29"/>
      <c r="AS743" s="29"/>
      <c r="AT743" s="29"/>
      <c r="AU743" s="29"/>
      <c r="AV743" s="29"/>
      <c r="AW743" s="29"/>
      <c r="AX743" s="29"/>
      <c r="AY743" s="29"/>
      <c r="AZ743" s="29"/>
      <c r="BA743" s="29"/>
      <c r="BB743" s="29"/>
      <c r="BC743" s="29"/>
      <c r="BD743" s="29"/>
      <c r="BE743" s="29"/>
      <c r="BF743" s="29"/>
      <c r="BG743" s="29"/>
      <c r="BH743" s="29"/>
    </row>
    <row r="744" spans="1:60" ht="14.25" customHeight="1" x14ac:dyDescent="0.3">
      <c r="A744" s="28"/>
      <c r="B744" s="29"/>
      <c r="C744" s="30"/>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c r="AH744" s="29"/>
      <c r="AI744" s="29"/>
      <c r="AJ744" s="29"/>
      <c r="AK744" s="29"/>
      <c r="AL744" s="29"/>
      <c r="AM744" s="29"/>
      <c r="AN744" s="29"/>
      <c r="AO744" s="29"/>
      <c r="AP744" s="29"/>
      <c r="AQ744" s="29"/>
      <c r="AR744" s="29"/>
      <c r="AS744" s="29"/>
      <c r="AT744" s="29"/>
      <c r="AU744" s="29"/>
      <c r="AV744" s="29"/>
      <c r="AW744" s="29"/>
      <c r="AX744" s="29"/>
      <c r="AY744" s="29"/>
      <c r="AZ744" s="29"/>
      <c r="BA744" s="29"/>
      <c r="BB744" s="29"/>
      <c r="BC744" s="29"/>
      <c r="BD744" s="29"/>
      <c r="BE744" s="29"/>
      <c r="BF744" s="29"/>
      <c r="BG744" s="29"/>
      <c r="BH744" s="29"/>
    </row>
    <row r="745" spans="1:60" ht="14.25" customHeight="1" x14ac:dyDescent="0.3">
      <c r="A745" s="28"/>
      <c r="B745" s="29"/>
      <c r="C745" s="30"/>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c r="AK745" s="29"/>
      <c r="AL745" s="29"/>
      <c r="AM745" s="29"/>
      <c r="AN745" s="29"/>
      <c r="AO745" s="29"/>
      <c r="AP745" s="29"/>
      <c r="AQ745" s="29"/>
      <c r="AR745" s="29"/>
      <c r="AS745" s="29"/>
      <c r="AT745" s="29"/>
      <c r="AU745" s="29"/>
      <c r="AV745" s="29"/>
      <c r="AW745" s="29"/>
      <c r="AX745" s="29"/>
      <c r="AY745" s="29"/>
      <c r="AZ745" s="29"/>
      <c r="BA745" s="29"/>
      <c r="BB745" s="29"/>
      <c r="BC745" s="29"/>
      <c r="BD745" s="29"/>
      <c r="BE745" s="29"/>
      <c r="BF745" s="29"/>
      <c r="BG745" s="29"/>
      <c r="BH745" s="29"/>
    </row>
    <row r="746" spans="1:60" ht="14.25" customHeight="1" x14ac:dyDescent="0.3">
      <c r="A746" s="28"/>
      <c r="B746" s="29"/>
      <c r="C746" s="30"/>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c r="AH746" s="29"/>
      <c r="AI746" s="29"/>
      <c r="AJ746" s="29"/>
      <c r="AK746" s="29"/>
      <c r="AL746" s="29"/>
      <c r="AM746" s="29"/>
      <c r="AN746" s="29"/>
      <c r="AO746" s="29"/>
      <c r="AP746" s="29"/>
      <c r="AQ746" s="29"/>
      <c r="AR746" s="29"/>
      <c r="AS746" s="29"/>
      <c r="AT746" s="29"/>
      <c r="AU746" s="29"/>
      <c r="AV746" s="29"/>
      <c r="AW746" s="29"/>
      <c r="AX746" s="29"/>
      <c r="AY746" s="29"/>
      <c r="AZ746" s="29"/>
      <c r="BA746" s="29"/>
      <c r="BB746" s="29"/>
      <c r="BC746" s="29"/>
      <c r="BD746" s="29"/>
      <c r="BE746" s="29"/>
      <c r="BF746" s="29"/>
      <c r="BG746" s="29"/>
      <c r="BH746" s="29"/>
    </row>
    <row r="747" spans="1:60" ht="14.25" customHeight="1" x14ac:dyDescent="0.3">
      <c r="A747" s="28"/>
      <c r="B747" s="29"/>
      <c r="C747" s="30"/>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c r="AK747" s="29"/>
      <c r="AL747" s="29"/>
      <c r="AM747" s="29"/>
      <c r="AN747" s="29"/>
      <c r="AO747" s="29"/>
      <c r="AP747" s="29"/>
      <c r="AQ747" s="29"/>
      <c r="AR747" s="29"/>
      <c r="AS747" s="29"/>
      <c r="AT747" s="29"/>
      <c r="AU747" s="29"/>
      <c r="AV747" s="29"/>
      <c r="AW747" s="29"/>
      <c r="AX747" s="29"/>
      <c r="AY747" s="29"/>
      <c r="AZ747" s="29"/>
      <c r="BA747" s="29"/>
      <c r="BB747" s="29"/>
      <c r="BC747" s="29"/>
      <c r="BD747" s="29"/>
      <c r="BE747" s="29"/>
      <c r="BF747" s="29"/>
      <c r="BG747" s="29"/>
      <c r="BH747" s="29"/>
    </row>
    <row r="748" spans="1:60" ht="14.25" customHeight="1" x14ac:dyDescent="0.3">
      <c r="A748" s="28"/>
      <c r="B748" s="29"/>
      <c r="C748" s="30"/>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c r="AK748" s="29"/>
      <c r="AL748" s="29"/>
      <c r="AM748" s="29"/>
      <c r="AN748" s="29"/>
      <c r="AO748" s="29"/>
      <c r="AP748" s="29"/>
      <c r="AQ748" s="29"/>
      <c r="AR748" s="29"/>
      <c r="AS748" s="29"/>
      <c r="AT748" s="29"/>
      <c r="AU748" s="29"/>
      <c r="AV748" s="29"/>
      <c r="AW748" s="29"/>
      <c r="AX748" s="29"/>
      <c r="AY748" s="29"/>
      <c r="AZ748" s="29"/>
      <c r="BA748" s="29"/>
      <c r="BB748" s="29"/>
      <c r="BC748" s="29"/>
      <c r="BD748" s="29"/>
      <c r="BE748" s="29"/>
      <c r="BF748" s="29"/>
      <c r="BG748" s="29"/>
      <c r="BH748" s="29"/>
    </row>
    <row r="749" spans="1:60" ht="14.25" customHeight="1" x14ac:dyDescent="0.3">
      <c r="A749" s="28"/>
      <c r="B749" s="29"/>
      <c r="C749" s="30"/>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c r="AN749" s="29"/>
      <c r="AO749" s="29"/>
      <c r="AP749" s="29"/>
      <c r="AQ749" s="29"/>
      <c r="AR749" s="29"/>
      <c r="AS749" s="29"/>
      <c r="AT749" s="29"/>
      <c r="AU749" s="29"/>
      <c r="AV749" s="29"/>
      <c r="AW749" s="29"/>
      <c r="AX749" s="29"/>
      <c r="AY749" s="29"/>
      <c r="AZ749" s="29"/>
      <c r="BA749" s="29"/>
      <c r="BB749" s="29"/>
      <c r="BC749" s="29"/>
      <c r="BD749" s="29"/>
      <c r="BE749" s="29"/>
      <c r="BF749" s="29"/>
      <c r="BG749" s="29"/>
      <c r="BH749" s="29"/>
    </row>
    <row r="750" spans="1:60" ht="14.25" customHeight="1" x14ac:dyDescent="0.3">
      <c r="A750" s="28"/>
      <c r="B750" s="29"/>
      <c r="C750" s="30"/>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c r="AJ750" s="29"/>
      <c r="AK750" s="29"/>
      <c r="AL750" s="29"/>
      <c r="AM750" s="29"/>
      <c r="AN750" s="29"/>
      <c r="AO750" s="29"/>
      <c r="AP750" s="29"/>
      <c r="AQ750" s="29"/>
      <c r="AR750" s="29"/>
      <c r="AS750" s="29"/>
      <c r="AT750" s="29"/>
      <c r="AU750" s="29"/>
      <c r="AV750" s="29"/>
      <c r="AW750" s="29"/>
      <c r="AX750" s="29"/>
      <c r="AY750" s="29"/>
      <c r="AZ750" s="29"/>
      <c r="BA750" s="29"/>
      <c r="BB750" s="29"/>
      <c r="BC750" s="29"/>
      <c r="BD750" s="29"/>
      <c r="BE750" s="29"/>
      <c r="BF750" s="29"/>
      <c r="BG750" s="29"/>
      <c r="BH750" s="29"/>
    </row>
    <row r="751" spans="1:60" ht="14.25" customHeight="1" x14ac:dyDescent="0.3">
      <c r="A751" s="28"/>
      <c r="B751" s="29"/>
      <c r="C751" s="30"/>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c r="AN751" s="29"/>
      <c r="AO751" s="29"/>
      <c r="AP751" s="29"/>
      <c r="AQ751" s="29"/>
      <c r="AR751" s="29"/>
      <c r="AS751" s="29"/>
      <c r="AT751" s="29"/>
      <c r="AU751" s="29"/>
      <c r="AV751" s="29"/>
      <c r="AW751" s="29"/>
      <c r="AX751" s="29"/>
      <c r="AY751" s="29"/>
      <c r="AZ751" s="29"/>
      <c r="BA751" s="29"/>
      <c r="BB751" s="29"/>
      <c r="BC751" s="29"/>
      <c r="BD751" s="29"/>
      <c r="BE751" s="29"/>
      <c r="BF751" s="29"/>
      <c r="BG751" s="29"/>
      <c r="BH751" s="29"/>
    </row>
    <row r="752" spans="1:60" ht="14.25" customHeight="1" x14ac:dyDescent="0.3">
      <c r="A752" s="28"/>
      <c r="B752" s="29"/>
      <c r="C752" s="30"/>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29"/>
      <c r="AI752" s="29"/>
      <c r="AJ752" s="29"/>
      <c r="AK752" s="29"/>
      <c r="AL752" s="29"/>
      <c r="AM752" s="29"/>
      <c r="AN752" s="29"/>
      <c r="AO752" s="29"/>
      <c r="AP752" s="29"/>
      <c r="AQ752" s="29"/>
      <c r="AR752" s="29"/>
      <c r="AS752" s="29"/>
      <c r="AT752" s="29"/>
      <c r="AU752" s="29"/>
      <c r="AV752" s="29"/>
      <c r="AW752" s="29"/>
      <c r="AX752" s="29"/>
      <c r="AY752" s="29"/>
      <c r="AZ752" s="29"/>
      <c r="BA752" s="29"/>
      <c r="BB752" s="29"/>
      <c r="BC752" s="29"/>
      <c r="BD752" s="29"/>
      <c r="BE752" s="29"/>
      <c r="BF752" s="29"/>
      <c r="BG752" s="29"/>
      <c r="BH752" s="29"/>
    </row>
    <row r="753" spans="1:60" ht="14.25" customHeight="1" x14ac:dyDescent="0.3">
      <c r="A753" s="28"/>
      <c r="B753" s="29"/>
      <c r="C753" s="30"/>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c r="AN753" s="29"/>
      <c r="AO753" s="29"/>
      <c r="AP753" s="29"/>
      <c r="AQ753" s="29"/>
      <c r="AR753" s="29"/>
      <c r="AS753" s="29"/>
      <c r="AT753" s="29"/>
      <c r="AU753" s="29"/>
      <c r="AV753" s="29"/>
      <c r="AW753" s="29"/>
      <c r="AX753" s="29"/>
      <c r="AY753" s="29"/>
      <c r="AZ753" s="29"/>
      <c r="BA753" s="29"/>
      <c r="BB753" s="29"/>
      <c r="BC753" s="29"/>
      <c r="BD753" s="29"/>
      <c r="BE753" s="29"/>
      <c r="BF753" s="29"/>
      <c r="BG753" s="29"/>
      <c r="BH753" s="29"/>
    </row>
    <row r="754" spans="1:60" ht="14.25" customHeight="1" x14ac:dyDescent="0.3">
      <c r="A754" s="28"/>
      <c r="B754" s="29"/>
      <c r="C754" s="30"/>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29"/>
      <c r="AI754" s="29"/>
      <c r="AJ754" s="29"/>
      <c r="AK754" s="29"/>
      <c r="AL754" s="29"/>
      <c r="AM754" s="29"/>
      <c r="AN754" s="29"/>
      <c r="AO754" s="29"/>
      <c r="AP754" s="29"/>
      <c r="AQ754" s="29"/>
      <c r="AR754" s="29"/>
      <c r="AS754" s="29"/>
      <c r="AT754" s="29"/>
      <c r="AU754" s="29"/>
      <c r="AV754" s="29"/>
      <c r="AW754" s="29"/>
      <c r="AX754" s="29"/>
      <c r="AY754" s="29"/>
      <c r="AZ754" s="29"/>
      <c r="BA754" s="29"/>
      <c r="BB754" s="29"/>
      <c r="BC754" s="29"/>
      <c r="BD754" s="29"/>
      <c r="BE754" s="29"/>
      <c r="BF754" s="29"/>
      <c r="BG754" s="29"/>
      <c r="BH754" s="29"/>
    </row>
    <row r="755" spans="1:60" ht="14.25" customHeight="1" x14ac:dyDescent="0.3">
      <c r="A755" s="28"/>
      <c r="B755" s="29"/>
      <c r="C755" s="30"/>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c r="AN755" s="29"/>
      <c r="AO755" s="29"/>
      <c r="AP755" s="29"/>
      <c r="AQ755" s="29"/>
      <c r="AR755" s="29"/>
      <c r="AS755" s="29"/>
      <c r="AT755" s="29"/>
      <c r="AU755" s="29"/>
      <c r="AV755" s="29"/>
      <c r="AW755" s="29"/>
      <c r="AX755" s="29"/>
      <c r="AY755" s="29"/>
      <c r="AZ755" s="29"/>
      <c r="BA755" s="29"/>
      <c r="BB755" s="29"/>
      <c r="BC755" s="29"/>
      <c r="BD755" s="29"/>
      <c r="BE755" s="29"/>
      <c r="BF755" s="29"/>
      <c r="BG755" s="29"/>
      <c r="BH755" s="29"/>
    </row>
    <row r="756" spans="1:60" ht="14.25" customHeight="1" x14ac:dyDescent="0.3">
      <c r="A756" s="28"/>
      <c r="B756" s="29"/>
      <c r="C756" s="30"/>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J756" s="29"/>
      <c r="AK756" s="29"/>
      <c r="AL756" s="29"/>
      <c r="AM756" s="29"/>
      <c r="AN756" s="29"/>
      <c r="AO756" s="29"/>
      <c r="AP756" s="29"/>
      <c r="AQ756" s="29"/>
      <c r="AR756" s="29"/>
      <c r="AS756" s="29"/>
      <c r="AT756" s="29"/>
      <c r="AU756" s="29"/>
      <c r="AV756" s="29"/>
      <c r="AW756" s="29"/>
      <c r="AX756" s="29"/>
      <c r="AY756" s="29"/>
      <c r="AZ756" s="29"/>
      <c r="BA756" s="29"/>
      <c r="BB756" s="29"/>
      <c r="BC756" s="29"/>
      <c r="BD756" s="29"/>
      <c r="BE756" s="29"/>
      <c r="BF756" s="29"/>
      <c r="BG756" s="29"/>
      <c r="BH756" s="29"/>
    </row>
    <row r="757" spans="1:60" ht="14.25" customHeight="1" x14ac:dyDescent="0.3">
      <c r="A757" s="28"/>
      <c r="B757" s="29"/>
      <c r="C757" s="30"/>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c r="AO757" s="29"/>
      <c r="AP757" s="29"/>
      <c r="AQ757" s="29"/>
      <c r="AR757" s="29"/>
      <c r="AS757" s="29"/>
      <c r="AT757" s="29"/>
      <c r="AU757" s="29"/>
      <c r="AV757" s="29"/>
      <c r="AW757" s="29"/>
      <c r="AX757" s="29"/>
      <c r="AY757" s="29"/>
      <c r="AZ757" s="29"/>
      <c r="BA757" s="29"/>
      <c r="BB757" s="29"/>
      <c r="BC757" s="29"/>
      <c r="BD757" s="29"/>
      <c r="BE757" s="29"/>
      <c r="BF757" s="29"/>
      <c r="BG757" s="29"/>
      <c r="BH757" s="29"/>
    </row>
    <row r="758" spans="1:60" ht="14.25" customHeight="1" x14ac:dyDescent="0.3">
      <c r="A758" s="28"/>
      <c r="B758" s="29"/>
      <c r="C758" s="30"/>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c r="AJ758" s="29"/>
      <c r="AK758" s="29"/>
      <c r="AL758" s="29"/>
      <c r="AM758" s="29"/>
      <c r="AN758" s="29"/>
      <c r="AO758" s="29"/>
      <c r="AP758" s="29"/>
      <c r="AQ758" s="29"/>
      <c r="AR758" s="29"/>
      <c r="AS758" s="29"/>
      <c r="AT758" s="29"/>
      <c r="AU758" s="29"/>
      <c r="AV758" s="29"/>
      <c r="AW758" s="29"/>
      <c r="AX758" s="29"/>
      <c r="AY758" s="29"/>
      <c r="AZ758" s="29"/>
      <c r="BA758" s="29"/>
      <c r="BB758" s="29"/>
      <c r="BC758" s="29"/>
      <c r="BD758" s="29"/>
      <c r="BE758" s="29"/>
      <c r="BF758" s="29"/>
      <c r="BG758" s="29"/>
      <c r="BH758" s="29"/>
    </row>
    <row r="759" spans="1:60" ht="14.25" customHeight="1" x14ac:dyDescent="0.3">
      <c r="A759" s="28"/>
      <c r="B759" s="29"/>
      <c r="C759" s="30"/>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c r="AR759" s="29"/>
      <c r="AS759" s="29"/>
      <c r="AT759" s="29"/>
      <c r="AU759" s="29"/>
      <c r="AV759" s="29"/>
      <c r="AW759" s="29"/>
      <c r="AX759" s="29"/>
      <c r="AY759" s="29"/>
      <c r="AZ759" s="29"/>
      <c r="BA759" s="29"/>
      <c r="BB759" s="29"/>
      <c r="BC759" s="29"/>
      <c r="BD759" s="29"/>
      <c r="BE759" s="29"/>
      <c r="BF759" s="29"/>
      <c r="BG759" s="29"/>
      <c r="BH759" s="29"/>
    </row>
    <row r="760" spans="1:60" ht="14.25" customHeight="1" x14ac:dyDescent="0.3">
      <c r="A760" s="28"/>
      <c r="B760" s="29"/>
      <c r="C760" s="30"/>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J760" s="29"/>
      <c r="AK760" s="29"/>
      <c r="AL760" s="29"/>
      <c r="AM760" s="29"/>
      <c r="AN760" s="29"/>
      <c r="AO760" s="29"/>
      <c r="AP760" s="29"/>
      <c r="AQ760" s="29"/>
      <c r="AR760" s="29"/>
      <c r="AS760" s="29"/>
      <c r="AT760" s="29"/>
      <c r="AU760" s="29"/>
      <c r="AV760" s="29"/>
      <c r="AW760" s="29"/>
      <c r="AX760" s="29"/>
      <c r="AY760" s="29"/>
      <c r="AZ760" s="29"/>
      <c r="BA760" s="29"/>
      <c r="BB760" s="29"/>
      <c r="BC760" s="29"/>
      <c r="BD760" s="29"/>
      <c r="BE760" s="29"/>
      <c r="BF760" s="29"/>
      <c r="BG760" s="29"/>
      <c r="BH760" s="29"/>
    </row>
    <row r="761" spans="1:60" ht="14.25" customHeight="1" x14ac:dyDescent="0.3">
      <c r="A761" s="28"/>
      <c r="B761" s="29"/>
      <c r="C761" s="30"/>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c r="AR761" s="29"/>
      <c r="AS761" s="29"/>
      <c r="AT761" s="29"/>
      <c r="AU761" s="29"/>
      <c r="AV761" s="29"/>
      <c r="AW761" s="29"/>
      <c r="AX761" s="29"/>
      <c r="AY761" s="29"/>
      <c r="AZ761" s="29"/>
      <c r="BA761" s="29"/>
      <c r="BB761" s="29"/>
      <c r="BC761" s="29"/>
      <c r="BD761" s="29"/>
      <c r="BE761" s="29"/>
      <c r="BF761" s="29"/>
      <c r="BG761" s="29"/>
      <c r="BH761" s="29"/>
    </row>
    <row r="762" spans="1:60" ht="14.25" customHeight="1" x14ac:dyDescent="0.3">
      <c r="A762" s="28"/>
      <c r="B762" s="29"/>
      <c r="C762" s="30"/>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J762" s="29"/>
      <c r="AK762" s="29"/>
      <c r="AL762" s="29"/>
      <c r="AM762" s="29"/>
      <c r="AN762" s="29"/>
      <c r="AO762" s="29"/>
      <c r="AP762" s="29"/>
      <c r="AQ762" s="29"/>
      <c r="AR762" s="29"/>
      <c r="AS762" s="29"/>
      <c r="AT762" s="29"/>
      <c r="AU762" s="29"/>
      <c r="AV762" s="29"/>
      <c r="AW762" s="29"/>
      <c r="AX762" s="29"/>
      <c r="AY762" s="29"/>
      <c r="AZ762" s="29"/>
      <c r="BA762" s="29"/>
      <c r="BB762" s="29"/>
      <c r="BC762" s="29"/>
      <c r="BD762" s="29"/>
      <c r="BE762" s="29"/>
      <c r="BF762" s="29"/>
      <c r="BG762" s="29"/>
      <c r="BH762" s="29"/>
    </row>
    <row r="763" spans="1:60" ht="14.25" customHeight="1" x14ac:dyDescent="0.3">
      <c r="A763" s="28"/>
      <c r="B763" s="29"/>
      <c r="C763" s="30"/>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c r="AN763" s="29"/>
      <c r="AO763" s="29"/>
      <c r="AP763" s="29"/>
      <c r="AQ763" s="29"/>
      <c r="AR763" s="29"/>
      <c r="AS763" s="29"/>
      <c r="AT763" s="29"/>
      <c r="AU763" s="29"/>
      <c r="AV763" s="29"/>
      <c r="AW763" s="29"/>
      <c r="AX763" s="29"/>
      <c r="AY763" s="29"/>
      <c r="AZ763" s="29"/>
      <c r="BA763" s="29"/>
      <c r="BB763" s="29"/>
      <c r="BC763" s="29"/>
      <c r="BD763" s="29"/>
      <c r="BE763" s="29"/>
      <c r="BF763" s="29"/>
      <c r="BG763" s="29"/>
      <c r="BH763" s="29"/>
    </row>
    <row r="764" spans="1:60" ht="14.25" customHeight="1" x14ac:dyDescent="0.3">
      <c r="A764" s="28"/>
      <c r="B764" s="29"/>
      <c r="C764" s="30"/>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29"/>
      <c r="AI764" s="29"/>
      <c r="AJ764" s="29"/>
      <c r="AK764" s="29"/>
      <c r="AL764" s="29"/>
      <c r="AM764" s="29"/>
      <c r="AN764" s="29"/>
      <c r="AO764" s="29"/>
      <c r="AP764" s="29"/>
      <c r="AQ764" s="29"/>
      <c r="AR764" s="29"/>
      <c r="AS764" s="29"/>
      <c r="AT764" s="29"/>
      <c r="AU764" s="29"/>
      <c r="AV764" s="29"/>
      <c r="AW764" s="29"/>
      <c r="AX764" s="29"/>
      <c r="AY764" s="29"/>
      <c r="AZ764" s="29"/>
      <c r="BA764" s="29"/>
      <c r="BB764" s="29"/>
      <c r="BC764" s="29"/>
      <c r="BD764" s="29"/>
      <c r="BE764" s="29"/>
      <c r="BF764" s="29"/>
      <c r="BG764" s="29"/>
      <c r="BH764" s="29"/>
    </row>
    <row r="765" spans="1:60" ht="14.25" customHeight="1" x14ac:dyDescent="0.3">
      <c r="A765" s="28"/>
      <c r="B765" s="29"/>
      <c r="C765" s="30"/>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c r="AN765" s="29"/>
      <c r="AO765" s="29"/>
      <c r="AP765" s="29"/>
      <c r="AQ765" s="29"/>
      <c r="AR765" s="29"/>
      <c r="AS765" s="29"/>
      <c r="AT765" s="29"/>
      <c r="AU765" s="29"/>
      <c r="AV765" s="29"/>
      <c r="AW765" s="29"/>
      <c r="AX765" s="29"/>
      <c r="AY765" s="29"/>
      <c r="AZ765" s="29"/>
      <c r="BA765" s="29"/>
      <c r="BB765" s="29"/>
      <c r="BC765" s="29"/>
      <c r="BD765" s="29"/>
      <c r="BE765" s="29"/>
      <c r="BF765" s="29"/>
      <c r="BG765" s="29"/>
      <c r="BH765" s="29"/>
    </row>
    <row r="766" spans="1:60" ht="14.25" customHeight="1" x14ac:dyDescent="0.3">
      <c r="A766" s="28"/>
      <c r="B766" s="29"/>
      <c r="C766" s="30"/>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29"/>
      <c r="AI766" s="29"/>
      <c r="AJ766" s="29"/>
      <c r="AK766" s="29"/>
      <c r="AL766" s="29"/>
      <c r="AM766" s="29"/>
      <c r="AN766" s="29"/>
      <c r="AO766" s="29"/>
      <c r="AP766" s="29"/>
      <c r="AQ766" s="29"/>
      <c r="AR766" s="29"/>
      <c r="AS766" s="29"/>
      <c r="AT766" s="29"/>
      <c r="AU766" s="29"/>
      <c r="AV766" s="29"/>
      <c r="AW766" s="29"/>
      <c r="AX766" s="29"/>
      <c r="AY766" s="29"/>
      <c r="AZ766" s="29"/>
      <c r="BA766" s="29"/>
      <c r="BB766" s="29"/>
      <c r="BC766" s="29"/>
      <c r="BD766" s="29"/>
      <c r="BE766" s="29"/>
      <c r="BF766" s="29"/>
      <c r="BG766" s="29"/>
      <c r="BH766" s="29"/>
    </row>
    <row r="767" spans="1:60" ht="14.25" customHeight="1" x14ac:dyDescent="0.3">
      <c r="A767" s="28"/>
      <c r="B767" s="29"/>
      <c r="C767" s="30"/>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c r="AN767" s="29"/>
      <c r="AO767" s="29"/>
      <c r="AP767" s="29"/>
      <c r="AQ767" s="29"/>
      <c r="AR767" s="29"/>
      <c r="AS767" s="29"/>
      <c r="AT767" s="29"/>
      <c r="AU767" s="29"/>
      <c r="AV767" s="29"/>
      <c r="AW767" s="29"/>
      <c r="AX767" s="29"/>
      <c r="AY767" s="29"/>
      <c r="AZ767" s="29"/>
      <c r="BA767" s="29"/>
      <c r="BB767" s="29"/>
      <c r="BC767" s="29"/>
      <c r="BD767" s="29"/>
      <c r="BE767" s="29"/>
      <c r="BF767" s="29"/>
      <c r="BG767" s="29"/>
      <c r="BH767" s="29"/>
    </row>
    <row r="768" spans="1:60" ht="14.25" customHeight="1" x14ac:dyDescent="0.3">
      <c r="A768" s="28"/>
      <c r="B768" s="29"/>
      <c r="C768" s="30"/>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29"/>
      <c r="AI768" s="29"/>
      <c r="AJ768" s="29"/>
      <c r="AK768" s="29"/>
      <c r="AL768" s="29"/>
      <c r="AM768" s="29"/>
      <c r="AN768" s="29"/>
      <c r="AO768" s="29"/>
      <c r="AP768" s="29"/>
      <c r="AQ768" s="29"/>
      <c r="AR768" s="29"/>
      <c r="AS768" s="29"/>
      <c r="AT768" s="29"/>
      <c r="AU768" s="29"/>
      <c r="AV768" s="29"/>
      <c r="AW768" s="29"/>
      <c r="AX768" s="29"/>
      <c r="AY768" s="29"/>
      <c r="AZ768" s="29"/>
      <c r="BA768" s="29"/>
      <c r="BB768" s="29"/>
      <c r="BC768" s="29"/>
      <c r="BD768" s="29"/>
      <c r="BE768" s="29"/>
      <c r="BF768" s="29"/>
      <c r="BG768" s="29"/>
      <c r="BH768" s="29"/>
    </row>
    <row r="769" spans="1:60" ht="14.25" customHeight="1" x14ac:dyDescent="0.3">
      <c r="A769" s="28"/>
      <c r="B769" s="29"/>
      <c r="C769" s="30"/>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c r="AN769" s="29"/>
      <c r="AO769" s="29"/>
      <c r="AP769" s="29"/>
      <c r="AQ769" s="29"/>
      <c r="AR769" s="29"/>
      <c r="AS769" s="29"/>
      <c r="AT769" s="29"/>
      <c r="AU769" s="29"/>
      <c r="AV769" s="29"/>
      <c r="AW769" s="29"/>
      <c r="AX769" s="29"/>
      <c r="AY769" s="29"/>
      <c r="AZ769" s="29"/>
      <c r="BA769" s="29"/>
      <c r="BB769" s="29"/>
      <c r="BC769" s="29"/>
      <c r="BD769" s="29"/>
      <c r="BE769" s="29"/>
      <c r="BF769" s="29"/>
      <c r="BG769" s="29"/>
      <c r="BH769" s="29"/>
    </row>
    <row r="770" spans="1:60" ht="14.25" customHeight="1" x14ac:dyDescent="0.3">
      <c r="A770" s="28"/>
      <c r="B770" s="29"/>
      <c r="C770" s="30"/>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29"/>
      <c r="AI770" s="29"/>
      <c r="AJ770" s="29"/>
      <c r="AK770" s="29"/>
      <c r="AL770" s="29"/>
      <c r="AM770" s="29"/>
      <c r="AN770" s="29"/>
      <c r="AO770" s="29"/>
      <c r="AP770" s="29"/>
      <c r="AQ770" s="29"/>
      <c r="AR770" s="29"/>
      <c r="AS770" s="29"/>
      <c r="AT770" s="29"/>
      <c r="AU770" s="29"/>
      <c r="AV770" s="29"/>
      <c r="AW770" s="29"/>
      <c r="AX770" s="29"/>
      <c r="AY770" s="29"/>
      <c r="AZ770" s="29"/>
      <c r="BA770" s="29"/>
      <c r="BB770" s="29"/>
      <c r="BC770" s="29"/>
      <c r="BD770" s="29"/>
      <c r="BE770" s="29"/>
      <c r="BF770" s="29"/>
      <c r="BG770" s="29"/>
      <c r="BH770" s="29"/>
    </row>
    <row r="771" spans="1:60" ht="14.25" customHeight="1" x14ac:dyDescent="0.3">
      <c r="A771" s="28"/>
      <c r="B771" s="29"/>
      <c r="C771" s="30"/>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c r="AK771" s="29"/>
      <c r="AL771" s="29"/>
      <c r="AM771" s="29"/>
      <c r="AN771" s="29"/>
      <c r="AO771" s="29"/>
      <c r="AP771" s="29"/>
      <c r="AQ771" s="29"/>
      <c r="AR771" s="29"/>
      <c r="AS771" s="29"/>
      <c r="AT771" s="29"/>
      <c r="AU771" s="29"/>
      <c r="AV771" s="29"/>
      <c r="AW771" s="29"/>
      <c r="AX771" s="29"/>
      <c r="AY771" s="29"/>
      <c r="AZ771" s="29"/>
      <c r="BA771" s="29"/>
      <c r="BB771" s="29"/>
      <c r="BC771" s="29"/>
      <c r="BD771" s="29"/>
      <c r="BE771" s="29"/>
      <c r="BF771" s="29"/>
      <c r="BG771" s="29"/>
      <c r="BH771" s="29"/>
    </row>
    <row r="772" spans="1:60" ht="14.25" customHeight="1" x14ac:dyDescent="0.3">
      <c r="A772" s="28"/>
      <c r="B772" s="29"/>
      <c r="C772" s="30"/>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c r="AJ772" s="29"/>
      <c r="AK772" s="29"/>
      <c r="AL772" s="29"/>
      <c r="AM772" s="29"/>
      <c r="AN772" s="29"/>
      <c r="AO772" s="29"/>
      <c r="AP772" s="29"/>
      <c r="AQ772" s="29"/>
      <c r="AR772" s="29"/>
      <c r="AS772" s="29"/>
      <c r="AT772" s="29"/>
      <c r="AU772" s="29"/>
      <c r="AV772" s="29"/>
      <c r="AW772" s="29"/>
      <c r="AX772" s="29"/>
      <c r="AY772" s="29"/>
      <c r="AZ772" s="29"/>
      <c r="BA772" s="29"/>
      <c r="BB772" s="29"/>
      <c r="BC772" s="29"/>
      <c r="BD772" s="29"/>
      <c r="BE772" s="29"/>
      <c r="BF772" s="29"/>
      <c r="BG772" s="29"/>
      <c r="BH772" s="29"/>
    </row>
    <row r="773" spans="1:60" ht="14.25" customHeight="1" x14ac:dyDescent="0.3">
      <c r="A773" s="28"/>
      <c r="B773" s="29"/>
      <c r="C773" s="30"/>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c r="AO773" s="29"/>
      <c r="AP773" s="29"/>
      <c r="AQ773" s="29"/>
      <c r="AR773" s="29"/>
      <c r="AS773" s="29"/>
      <c r="AT773" s="29"/>
      <c r="AU773" s="29"/>
      <c r="AV773" s="29"/>
      <c r="AW773" s="29"/>
      <c r="AX773" s="29"/>
      <c r="AY773" s="29"/>
      <c r="AZ773" s="29"/>
      <c r="BA773" s="29"/>
      <c r="BB773" s="29"/>
      <c r="BC773" s="29"/>
      <c r="BD773" s="29"/>
      <c r="BE773" s="29"/>
      <c r="BF773" s="29"/>
      <c r="BG773" s="29"/>
      <c r="BH773" s="29"/>
    </row>
    <row r="774" spans="1:60" ht="14.25" customHeight="1" x14ac:dyDescent="0.3">
      <c r="A774" s="28"/>
      <c r="B774" s="29"/>
      <c r="C774" s="30"/>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c r="AJ774" s="29"/>
      <c r="AK774" s="29"/>
      <c r="AL774" s="29"/>
      <c r="AM774" s="29"/>
      <c r="AN774" s="29"/>
      <c r="AO774" s="29"/>
      <c r="AP774" s="29"/>
      <c r="AQ774" s="29"/>
      <c r="AR774" s="29"/>
      <c r="AS774" s="29"/>
      <c r="AT774" s="29"/>
      <c r="AU774" s="29"/>
      <c r="AV774" s="29"/>
      <c r="AW774" s="29"/>
      <c r="AX774" s="29"/>
      <c r="AY774" s="29"/>
      <c r="AZ774" s="29"/>
      <c r="BA774" s="29"/>
      <c r="BB774" s="29"/>
      <c r="BC774" s="29"/>
      <c r="BD774" s="29"/>
      <c r="BE774" s="29"/>
      <c r="BF774" s="29"/>
      <c r="BG774" s="29"/>
      <c r="BH774" s="29"/>
    </row>
    <row r="775" spans="1:60" ht="14.25" customHeight="1" x14ac:dyDescent="0.3">
      <c r="A775" s="28"/>
      <c r="B775" s="29"/>
      <c r="C775" s="30"/>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c r="AO775" s="29"/>
      <c r="AP775" s="29"/>
      <c r="AQ775" s="29"/>
      <c r="AR775" s="29"/>
      <c r="AS775" s="29"/>
      <c r="AT775" s="29"/>
      <c r="AU775" s="29"/>
      <c r="AV775" s="29"/>
      <c r="AW775" s="29"/>
      <c r="AX775" s="29"/>
      <c r="AY775" s="29"/>
      <c r="AZ775" s="29"/>
      <c r="BA775" s="29"/>
      <c r="BB775" s="29"/>
      <c r="BC775" s="29"/>
      <c r="BD775" s="29"/>
      <c r="BE775" s="29"/>
      <c r="BF775" s="29"/>
      <c r="BG775" s="29"/>
      <c r="BH775" s="29"/>
    </row>
    <row r="776" spans="1:60" ht="14.25" customHeight="1" x14ac:dyDescent="0.3">
      <c r="A776" s="28"/>
      <c r="B776" s="29"/>
      <c r="C776" s="30"/>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c r="AJ776" s="29"/>
      <c r="AK776" s="29"/>
      <c r="AL776" s="29"/>
      <c r="AM776" s="29"/>
      <c r="AN776" s="29"/>
      <c r="AO776" s="29"/>
      <c r="AP776" s="29"/>
      <c r="AQ776" s="29"/>
      <c r="AR776" s="29"/>
      <c r="AS776" s="29"/>
      <c r="AT776" s="29"/>
      <c r="AU776" s="29"/>
      <c r="AV776" s="29"/>
      <c r="AW776" s="29"/>
      <c r="AX776" s="29"/>
      <c r="AY776" s="29"/>
      <c r="AZ776" s="29"/>
      <c r="BA776" s="29"/>
      <c r="BB776" s="29"/>
      <c r="BC776" s="29"/>
      <c r="BD776" s="29"/>
      <c r="BE776" s="29"/>
      <c r="BF776" s="29"/>
      <c r="BG776" s="29"/>
      <c r="BH776" s="29"/>
    </row>
    <row r="777" spans="1:60" ht="14.25" customHeight="1" x14ac:dyDescent="0.3">
      <c r="A777" s="28"/>
      <c r="B777" s="29"/>
      <c r="C777" s="30"/>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c r="AN777" s="29"/>
      <c r="AO777" s="29"/>
      <c r="AP777" s="29"/>
      <c r="AQ777" s="29"/>
      <c r="AR777" s="29"/>
      <c r="AS777" s="29"/>
      <c r="AT777" s="29"/>
      <c r="AU777" s="29"/>
      <c r="AV777" s="29"/>
      <c r="AW777" s="29"/>
      <c r="AX777" s="29"/>
      <c r="AY777" s="29"/>
      <c r="AZ777" s="29"/>
      <c r="BA777" s="29"/>
      <c r="BB777" s="29"/>
      <c r="BC777" s="29"/>
      <c r="BD777" s="29"/>
      <c r="BE777" s="29"/>
      <c r="BF777" s="29"/>
      <c r="BG777" s="29"/>
      <c r="BH777" s="29"/>
    </row>
    <row r="778" spans="1:60" ht="14.25" customHeight="1" x14ac:dyDescent="0.3">
      <c r="A778" s="28"/>
      <c r="B778" s="29"/>
      <c r="C778" s="30"/>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29"/>
      <c r="AI778" s="29"/>
      <c r="AJ778" s="29"/>
      <c r="AK778" s="29"/>
      <c r="AL778" s="29"/>
      <c r="AM778" s="29"/>
      <c r="AN778" s="29"/>
      <c r="AO778" s="29"/>
      <c r="AP778" s="29"/>
      <c r="AQ778" s="29"/>
      <c r="AR778" s="29"/>
      <c r="AS778" s="29"/>
      <c r="AT778" s="29"/>
      <c r="AU778" s="29"/>
      <c r="AV778" s="29"/>
      <c r="AW778" s="29"/>
      <c r="AX778" s="29"/>
      <c r="AY778" s="29"/>
      <c r="AZ778" s="29"/>
      <c r="BA778" s="29"/>
      <c r="BB778" s="29"/>
      <c r="BC778" s="29"/>
      <c r="BD778" s="29"/>
      <c r="BE778" s="29"/>
      <c r="BF778" s="29"/>
      <c r="BG778" s="29"/>
      <c r="BH778" s="29"/>
    </row>
    <row r="779" spans="1:60" ht="14.25" customHeight="1" x14ac:dyDescent="0.3">
      <c r="A779" s="28"/>
      <c r="B779" s="29"/>
      <c r="C779" s="30"/>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c r="AO779" s="29"/>
      <c r="AP779" s="29"/>
      <c r="AQ779" s="29"/>
      <c r="AR779" s="29"/>
      <c r="AS779" s="29"/>
      <c r="AT779" s="29"/>
      <c r="AU779" s="29"/>
      <c r="AV779" s="29"/>
      <c r="AW779" s="29"/>
      <c r="AX779" s="29"/>
      <c r="AY779" s="29"/>
      <c r="AZ779" s="29"/>
      <c r="BA779" s="29"/>
      <c r="BB779" s="29"/>
      <c r="BC779" s="29"/>
      <c r="BD779" s="29"/>
      <c r="BE779" s="29"/>
      <c r="BF779" s="29"/>
      <c r="BG779" s="29"/>
      <c r="BH779" s="29"/>
    </row>
    <row r="780" spans="1:60" ht="14.25" customHeight="1" x14ac:dyDescent="0.3">
      <c r="A780" s="28"/>
      <c r="B780" s="29"/>
      <c r="C780" s="30"/>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c r="AH780" s="29"/>
      <c r="AI780" s="29"/>
      <c r="AJ780" s="29"/>
      <c r="AK780" s="29"/>
      <c r="AL780" s="29"/>
      <c r="AM780" s="29"/>
      <c r="AN780" s="29"/>
      <c r="AO780" s="29"/>
      <c r="AP780" s="29"/>
      <c r="AQ780" s="29"/>
      <c r="AR780" s="29"/>
      <c r="AS780" s="29"/>
      <c r="AT780" s="29"/>
      <c r="AU780" s="29"/>
      <c r="AV780" s="29"/>
      <c r="AW780" s="29"/>
      <c r="AX780" s="29"/>
      <c r="AY780" s="29"/>
      <c r="AZ780" s="29"/>
      <c r="BA780" s="29"/>
      <c r="BB780" s="29"/>
      <c r="BC780" s="29"/>
      <c r="BD780" s="29"/>
      <c r="BE780" s="29"/>
      <c r="BF780" s="29"/>
      <c r="BG780" s="29"/>
      <c r="BH780" s="29"/>
    </row>
    <row r="781" spans="1:60" ht="14.25" customHeight="1" x14ac:dyDescent="0.3">
      <c r="A781" s="28"/>
      <c r="B781" s="29"/>
      <c r="C781" s="30"/>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c r="AN781" s="29"/>
      <c r="AO781" s="29"/>
      <c r="AP781" s="29"/>
      <c r="AQ781" s="29"/>
      <c r="AR781" s="29"/>
      <c r="AS781" s="29"/>
      <c r="AT781" s="29"/>
      <c r="AU781" s="29"/>
      <c r="AV781" s="29"/>
      <c r="AW781" s="29"/>
      <c r="AX781" s="29"/>
      <c r="AY781" s="29"/>
      <c r="AZ781" s="29"/>
      <c r="BA781" s="29"/>
      <c r="BB781" s="29"/>
      <c r="BC781" s="29"/>
      <c r="BD781" s="29"/>
      <c r="BE781" s="29"/>
      <c r="BF781" s="29"/>
      <c r="BG781" s="29"/>
      <c r="BH781" s="29"/>
    </row>
    <row r="782" spans="1:60" ht="14.25" customHeight="1" x14ac:dyDescent="0.3">
      <c r="A782" s="28"/>
      <c r="B782" s="29"/>
      <c r="C782" s="30"/>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c r="AF782" s="29"/>
      <c r="AG782" s="29"/>
      <c r="AH782" s="29"/>
      <c r="AI782" s="29"/>
      <c r="AJ782" s="29"/>
      <c r="AK782" s="29"/>
      <c r="AL782" s="29"/>
      <c r="AM782" s="29"/>
      <c r="AN782" s="29"/>
      <c r="AO782" s="29"/>
      <c r="AP782" s="29"/>
      <c r="AQ782" s="29"/>
      <c r="AR782" s="29"/>
      <c r="AS782" s="29"/>
      <c r="AT782" s="29"/>
      <c r="AU782" s="29"/>
      <c r="AV782" s="29"/>
      <c r="AW782" s="29"/>
      <c r="AX782" s="29"/>
      <c r="AY782" s="29"/>
      <c r="AZ782" s="29"/>
      <c r="BA782" s="29"/>
      <c r="BB782" s="29"/>
      <c r="BC782" s="29"/>
      <c r="BD782" s="29"/>
      <c r="BE782" s="29"/>
      <c r="BF782" s="29"/>
      <c r="BG782" s="29"/>
      <c r="BH782" s="29"/>
    </row>
    <row r="783" spans="1:60" ht="14.25" customHeight="1" x14ac:dyDescent="0.3">
      <c r="A783" s="28"/>
      <c r="B783" s="29"/>
      <c r="C783" s="30"/>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c r="AN783" s="29"/>
      <c r="AO783" s="29"/>
      <c r="AP783" s="29"/>
      <c r="AQ783" s="29"/>
      <c r="AR783" s="29"/>
      <c r="AS783" s="29"/>
      <c r="AT783" s="29"/>
      <c r="AU783" s="29"/>
      <c r="AV783" s="29"/>
      <c r="AW783" s="29"/>
      <c r="AX783" s="29"/>
      <c r="AY783" s="29"/>
      <c r="AZ783" s="29"/>
      <c r="BA783" s="29"/>
      <c r="BB783" s="29"/>
      <c r="BC783" s="29"/>
      <c r="BD783" s="29"/>
      <c r="BE783" s="29"/>
      <c r="BF783" s="29"/>
      <c r="BG783" s="29"/>
      <c r="BH783" s="29"/>
    </row>
    <row r="784" spans="1:60" ht="14.25" customHeight="1" x14ac:dyDescent="0.3">
      <c r="A784" s="28"/>
      <c r="B784" s="29"/>
      <c r="C784" s="30"/>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c r="AH784" s="29"/>
      <c r="AI784" s="29"/>
      <c r="AJ784" s="29"/>
      <c r="AK784" s="29"/>
      <c r="AL784" s="29"/>
      <c r="AM784" s="29"/>
      <c r="AN784" s="29"/>
      <c r="AO784" s="29"/>
      <c r="AP784" s="29"/>
      <c r="AQ784" s="29"/>
      <c r="AR784" s="29"/>
      <c r="AS784" s="29"/>
      <c r="AT784" s="29"/>
      <c r="AU784" s="29"/>
      <c r="AV784" s="29"/>
      <c r="AW784" s="29"/>
      <c r="AX784" s="29"/>
      <c r="AY784" s="29"/>
      <c r="AZ784" s="29"/>
      <c r="BA784" s="29"/>
      <c r="BB784" s="29"/>
      <c r="BC784" s="29"/>
      <c r="BD784" s="29"/>
      <c r="BE784" s="29"/>
      <c r="BF784" s="29"/>
      <c r="BG784" s="29"/>
      <c r="BH784" s="29"/>
    </row>
    <row r="785" spans="1:60" ht="14.25" customHeight="1" x14ac:dyDescent="0.3">
      <c r="A785" s="28"/>
      <c r="B785" s="29"/>
      <c r="C785" s="30"/>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c r="AK785" s="29"/>
      <c r="AL785" s="29"/>
      <c r="AM785" s="29"/>
      <c r="AN785" s="29"/>
      <c r="AO785" s="29"/>
      <c r="AP785" s="29"/>
      <c r="AQ785" s="29"/>
      <c r="AR785" s="29"/>
      <c r="AS785" s="29"/>
      <c r="AT785" s="29"/>
      <c r="AU785" s="29"/>
      <c r="AV785" s="29"/>
      <c r="AW785" s="29"/>
      <c r="AX785" s="29"/>
      <c r="AY785" s="29"/>
      <c r="AZ785" s="29"/>
      <c r="BA785" s="29"/>
      <c r="BB785" s="29"/>
      <c r="BC785" s="29"/>
      <c r="BD785" s="29"/>
      <c r="BE785" s="29"/>
      <c r="BF785" s="29"/>
      <c r="BG785" s="29"/>
      <c r="BH785" s="29"/>
    </row>
    <row r="786" spans="1:60" ht="14.25" customHeight="1" x14ac:dyDescent="0.3">
      <c r="A786" s="28"/>
      <c r="B786" s="29"/>
      <c r="C786" s="30"/>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c r="AG786" s="29"/>
      <c r="AH786" s="29"/>
      <c r="AI786" s="29"/>
      <c r="AJ786" s="29"/>
      <c r="AK786" s="29"/>
      <c r="AL786" s="29"/>
      <c r="AM786" s="29"/>
      <c r="AN786" s="29"/>
      <c r="AO786" s="29"/>
      <c r="AP786" s="29"/>
      <c r="AQ786" s="29"/>
      <c r="AR786" s="29"/>
      <c r="AS786" s="29"/>
      <c r="AT786" s="29"/>
      <c r="AU786" s="29"/>
      <c r="AV786" s="29"/>
      <c r="AW786" s="29"/>
      <c r="AX786" s="29"/>
      <c r="AY786" s="29"/>
      <c r="AZ786" s="29"/>
      <c r="BA786" s="29"/>
      <c r="BB786" s="29"/>
      <c r="BC786" s="29"/>
      <c r="BD786" s="29"/>
      <c r="BE786" s="29"/>
      <c r="BF786" s="29"/>
      <c r="BG786" s="29"/>
      <c r="BH786" s="29"/>
    </row>
    <row r="787" spans="1:60" ht="14.25" customHeight="1" x14ac:dyDescent="0.3">
      <c r="A787" s="28"/>
      <c r="B787" s="29"/>
      <c r="C787" s="30"/>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c r="AN787" s="29"/>
      <c r="AO787" s="29"/>
      <c r="AP787" s="29"/>
      <c r="AQ787" s="29"/>
      <c r="AR787" s="29"/>
      <c r="AS787" s="29"/>
      <c r="AT787" s="29"/>
      <c r="AU787" s="29"/>
      <c r="AV787" s="29"/>
      <c r="AW787" s="29"/>
      <c r="AX787" s="29"/>
      <c r="AY787" s="29"/>
      <c r="AZ787" s="29"/>
      <c r="BA787" s="29"/>
      <c r="BB787" s="29"/>
      <c r="BC787" s="29"/>
      <c r="BD787" s="29"/>
      <c r="BE787" s="29"/>
      <c r="BF787" s="29"/>
      <c r="BG787" s="29"/>
      <c r="BH787" s="29"/>
    </row>
    <row r="788" spans="1:60" ht="14.25" customHeight="1" x14ac:dyDescent="0.3">
      <c r="A788" s="28"/>
      <c r="B788" s="29"/>
      <c r="C788" s="30"/>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c r="AH788" s="29"/>
      <c r="AI788" s="29"/>
      <c r="AJ788" s="29"/>
      <c r="AK788" s="29"/>
      <c r="AL788" s="29"/>
      <c r="AM788" s="29"/>
      <c r="AN788" s="29"/>
      <c r="AO788" s="29"/>
      <c r="AP788" s="29"/>
      <c r="AQ788" s="29"/>
      <c r="AR788" s="29"/>
      <c r="AS788" s="29"/>
      <c r="AT788" s="29"/>
      <c r="AU788" s="29"/>
      <c r="AV788" s="29"/>
      <c r="AW788" s="29"/>
      <c r="AX788" s="29"/>
      <c r="AY788" s="29"/>
      <c r="AZ788" s="29"/>
      <c r="BA788" s="29"/>
      <c r="BB788" s="29"/>
      <c r="BC788" s="29"/>
      <c r="BD788" s="29"/>
      <c r="BE788" s="29"/>
      <c r="BF788" s="29"/>
      <c r="BG788" s="29"/>
      <c r="BH788" s="29"/>
    </row>
    <row r="789" spans="1:60" ht="14.25" customHeight="1" x14ac:dyDescent="0.3">
      <c r="A789" s="28"/>
      <c r="B789" s="29"/>
      <c r="C789" s="30"/>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c r="AN789" s="29"/>
      <c r="AO789" s="29"/>
      <c r="AP789" s="29"/>
      <c r="AQ789" s="29"/>
      <c r="AR789" s="29"/>
      <c r="AS789" s="29"/>
      <c r="AT789" s="29"/>
      <c r="AU789" s="29"/>
      <c r="AV789" s="29"/>
      <c r="AW789" s="29"/>
      <c r="AX789" s="29"/>
      <c r="AY789" s="29"/>
      <c r="AZ789" s="29"/>
      <c r="BA789" s="29"/>
      <c r="BB789" s="29"/>
      <c r="BC789" s="29"/>
      <c r="BD789" s="29"/>
      <c r="BE789" s="29"/>
      <c r="BF789" s="29"/>
      <c r="BG789" s="29"/>
      <c r="BH789" s="29"/>
    </row>
    <row r="790" spans="1:60" ht="14.25" customHeight="1" x14ac:dyDescent="0.3">
      <c r="A790" s="28"/>
      <c r="B790" s="29"/>
      <c r="C790" s="30"/>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c r="AH790" s="29"/>
      <c r="AI790" s="29"/>
      <c r="AJ790" s="29"/>
      <c r="AK790" s="29"/>
      <c r="AL790" s="29"/>
      <c r="AM790" s="29"/>
      <c r="AN790" s="29"/>
      <c r="AO790" s="29"/>
      <c r="AP790" s="29"/>
      <c r="AQ790" s="29"/>
      <c r="AR790" s="29"/>
      <c r="AS790" s="29"/>
      <c r="AT790" s="29"/>
      <c r="AU790" s="29"/>
      <c r="AV790" s="29"/>
      <c r="AW790" s="29"/>
      <c r="AX790" s="29"/>
      <c r="AY790" s="29"/>
      <c r="AZ790" s="29"/>
      <c r="BA790" s="29"/>
      <c r="BB790" s="29"/>
      <c r="BC790" s="29"/>
      <c r="BD790" s="29"/>
      <c r="BE790" s="29"/>
      <c r="BF790" s="29"/>
      <c r="BG790" s="29"/>
      <c r="BH790" s="29"/>
    </row>
    <row r="791" spans="1:60" ht="14.25" customHeight="1" x14ac:dyDescent="0.3">
      <c r="A791" s="28"/>
      <c r="B791" s="29"/>
      <c r="C791" s="30"/>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c r="AK791" s="29"/>
      <c r="AL791" s="29"/>
      <c r="AM791" s="29"/>
      <c r="AN791" s="29"/>
      <c r="AO791" s="29"/>
      <c r="AP791" s="29"/>
      <c r="AQ791" s="29"/>
      <c r="AR791" s="29"/>
      <c r="AS791" s="29"/>
      <c r="AT791" s="29"/>
      <c r="AU791" s="29"/>
      <c r="AV791" s="29"/>
      <c r="AW791" s="29"/>
      <c r="AX791" s="29"/>
      <c r="AY791" s="29"/>
      <c r="AZ791" s="29"/>
      <c r="BA791" s="29"/>
      <c r="BB791" s="29"/>
      <c r="BC791" s="29"/>
      <c r="BD791" s="29"/>
      <c r="BE791" s="29"/>
      <c r="BF791" s="29"/>
      <c r="BG791" s="29"/>
      <c r="BH791" s="29"/>
    </row>
    <row r="792" spans="1:60" ht="14.25" customHeight="1" x14ac:dyDescent="0.3">
      <c r="A792" s="28"/>
      <c r="B792" s="29"/>
      <c r="C792" s="30"/>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c r="AG792" s="29"/>
      <c r="AH792" s="29"/>
      <c r="AI792" s="29"/>
      <c r="AJ792" s="29"/>
      <c r="AK792" s="29"/>
      <c r="AL792" s="29"/>
      <c r="AM792" s="29"/>
      <c r="AN792" s="29"/>
      <c r="AO792" s="29"/>
      <c r="AP792" s="29"/>
      <c r="AQ792" s="29"/>
      <c r="AR792" s="29"/>
      <c r="AS792" s="29"/>
      <c r="AT792" s="29"/>
      <c r="AU792" s="29"/>
      <c r="AV792" s="29"/>
      <c r="AW792" s="29"/>
      <c r="AX792" s="29"/>
      <c r="AY792" s="29"/>
      <c r="AZ792" s="29"/>
      <c r="BA792" s="29"/>
      <c r="BB792" s="29"/>
      <c r="BC792" s="29"/>
      <c r="BD792" s="29"/>
      <c r="BE792" s="29"/>
      <c r="BF792" s="29"/>
      <c r="BG792" s="29"/>
      <c r="BH792" s="29"/>
    </row>
    <row r="793" spans="1:60" ht="14.25" customHeight="1" x14ac:dyDescent="0.3">
      <c r="A793" s="28"/>
      <c r="B793" s="29"/>
      <c r="C793" s="30"/>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c r="AK793" s="29"/>
      <c r="AL793" s="29"/>
      <c r="AM793" s="29"/>
      <c r="AN793" s="29"/>
      <c r="AO793" s="29"/>
      <c r="AP793" s="29"/>
      <c r="AQ793" s="29"/>
      <c r="AR793" s="29"/>
      <c r="AS793" s="29"/>
      <c r="AT793" s="29"/>
      <c r="AU793" s="29"/>
      <c r="AV793" s="29"/>
      <c r="AW793" s="29"/>
      <c r="AX793" s="29"/>
      <c r="AY793" s="29"/>
      <c r="AZ793" s="29"/>
      <c r="BA793" s="29"/>
      <c r="BB793" s="29"/>
      <c r="BC793" s="29"/>
      <c r="BD793" s="29"/>
      <c r="BE793" s="29"/>
      <c r="BF793" s="29"/>
      <c r="BG793" s="29"/>
      <c r="BH793" s="29"/>
    </row>
    <row r="794" spans="1:60" ht="14.25" customHeight="1" x14ac:dyDescent="0.3">
      <c r="A794" s="28"/>
      <c r="B794" s="29"/>
      <c r="C794" s="30"/>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c r="AG794" s="29"/>
      <c r="AH794" s="29"/>
      <c r="AI794" s="29"/>
      <c r="AJ794" s="29"/>
      <c r="AK794" s="29"/>
      <c r="AL794" s="29"/>
      <c r="AM794" s="29"/>
      <c r="AN794" s="29"/>
      <c r="AO794" s="29"/>
      <c r="AP794" s="29"/>
      <c r="AQ794" s="29"/>
      <c r="AR794" s="29"/>
      <c r="AS794" s="29"/>
      <c r="AT794" s="29"/>
      <c r="AU794" s="29"/>
      <c r="AV794" s="29"/>
      <c r="AW794" s="29"/>
      <c r="AX794" s="29"/>
      <c r="AY794" s="29"/>
      <c r="AZ794" s="29"/>
      <c r="BA794" s="29"/>
      <c r="BB794" s="29"/>
      <c r="BC794" s="29"/>
      <c r="BD794" s="29"/>
      <c r="BE794" s="29"/>
      <c r="BF794" s="29"/>
      <c r="BG794" s="29"/>
      <c r="BH794" s="29"/>
    </row>
    <row r="795" spans="1:60" ht="14.25" customHeight="1" x14ac:dyDescent="0.3">
      <c r="A795" s="28"/>
      <c r="B795" s="29"/>
      <c r="C795" s="30"/>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c r="AN795" s="29"/>
      <c r="AO795" s="29"/>
      <c r="AP795" s="29"/>
      <c r="AQ795" s="29"/>
      <c r="AR795" s="29"/>
      <c r="AS795" s="29"/>
      <c r="AT795" s="29"/>
      <c r="AU795" s="29"/>
      <c r="AV795" s="29"/>
      <c r="AW795" s="29"/>
      <c r="AX795" s="29"/>
      <c r="AY795" s="29"/>
      <c r="AZ795" s="29"/>
      <c r="BA795" s="29"/>
      <c r="BB795" s="29"/>
      <c r="BC795" s="29"/>
      <c r="BD795" s="29"/>
      <c r="BE795" s="29"/>
      <c r="BF795" s="29"/>
      <c r="BG795" s="29"/>
      <c r="BH795" s="29"/>
    </row>
    <row r="796" spans="1:60" ht="14.25" customHeight="1" x14ac:dyDescent="0.3">
      <c r="A796" s="28"/>
      <c r="B796" s="29"/>
      <c r="C796" s="30"/>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c r="AH796" s="29"/>
      <c r="AI796" s="29"/>
      <c r="AJ796" s="29"/>
      <c r="AK796" s="29"/>
      <c r="AL796" s="29"/>
      <c r="AM796" s="29"/>
      <c r="AN796" s="29"/>
      <c r="AO796" s="29"/>
      <c r="AP796" s="29"/>
      <c r="AQ796" s="29"/>
      <c r="AR796" s="29"/>
      <c r="AS796" s="29"/>
      <c r="AT796" s="29"/>
      <c r="AU796" s="29"/>
      <c r="AV796" s="29"/>
      <c r="AW796" s="29"/>
      <c r="AX796" s="29"/>
      <c r="AY796" s="29"/>
      <c r="AZ796" s="29"/>
      <c r="BA796" s="29"/>
      <c r="BB796" s="29"/>
      <c r="BC796" s="29"/>
      <c r="BD796" s="29"/>
      <c r="BE796" s="29"/>
      <c r="BF796" s="29"/>
      <c r="BG796" s="29"/>
      <c r="BH796" s="29"/>
    </row>
    <row r="797" spans="1:60" ht="14.25" customHeight="1" x14ac:dyDescent="0.3">
      <c r="A797" s="28"/>
      <c r="B797" s="29"/>
      <c r="C797" s="30"/>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c r="AN797" s="29"/>
      <c r="AO797" s="29"/>
      <c r="AP797" s="29"/>
      <c r="AQ797" s="29"/>
      <c r="AR797" s="29"/>
      <c r="AS797" s="29"/>
      <c r="AT797" s="29"/>
      <c r="AU797" s="29"/>
      <c r="AV797" s="29"/>
      <c r="AW797" s="29"/>
      <c r="AX797" s="29"/>
      <c r="AY797" s="29"/>
      <c r="AZ797" s="29"/>
      <c r="BA797" s="29"/>
      <c r="BB797" s="29"/>
      <c r="BC797" s="29"/>
      <c r="BD797" s="29"/>
      <c r="BE797" s="29"/>
      <c r="BF797" s="29"/>
      <c r="BG797" s="29"/>
      <c r="BH797" s="29"/>
    </row>
    <row r="798" spans="1:60" ht="14.25" customHeight="1" x14ac:dyDescent="0.3">
      <c r="A798" s="28"/>
      <c r="B798" s="29"/>
      <c r="C798" s="30"/>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c r="AH798" s="29"/>
      <c r="AI798" s="29"/>
      <c r="AJ798" s="29"/>
      <c r="AK798" s="29"/>
      <c r="AL798" s="29"/>
      <c r="AM798" s="29"/>
      <c r="AN798" s="29"/>
      <c r="AO798" s="29"/>
      <c r="AP798" s="29"/>
      <c r="AQ798" s="29"/>
      <c r="AR798" s="29"/>
      <c r="AS798" s="29"/>
      <c r="AT798" s="29"/>
      <c r="AU798" s="29"/>
      <c r="AV798" s="29"/>
      <c r="AW798" s="29"/>
      <c r="AX798" s="29"/>
      <c r="AY798" s="29"/>
      <c r="AZ798" s="29"/>
      <c r="BA798" s="29"/>
      <c r="BB798" s="29"/>
      <c r="BC798" s="29"/>
      <c r="BD798" s="29"/>
      <c r="BE798" s="29"/>
      <c r="BF798" s="29"/>
      <c r="BG798" s="29"/>
      <c r="BH798" s="29"/>
    </row>
    <row r="799" spans="1:60" ht="14.25" customHeight="1" x14ac:dyDescent="0.3">
      <c r="A799" s="28"/>
      <c r="B799" s="29"/>
      <c r="C799" s="30"/>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c r="AN799" s="29"/>
      <c r="AO799" s="29"/>
      <c r="AP799" s="29"/>
      <c r="AQ799" s="29"/>
      <c r="AR799" s="29"/>
      <c r="AS799" s="29"/>
      <c r="AT799" s="29"/>
      <c r="AU799" s="29"/>
      <c r="AV799" s="29"/>
      <c r="AW799" s="29"/>
      <c r="AX799" s="29"/>
      <c r="AY799" s="29"/>
      <c r="AZ799" s="29"/>
      <c r="BA799" s="29"/>
      <c r="BB799" s="29"/>
      <c r="BC799" s="29"/>
      <c r="BD799" s="29"/>
      <c r="BE799" s="29"/>
      <c r="BF799" s="29"/>
      <c r="BG799" s="29"/>
      <c r="BH799" s="29"/>
    </row>
    <row r="800" spans="1:60" ht="14.25" customHeight="1" x14ac:dyDescent="0.3">
      <c r="A800" s="28"/>
      <c r="B800" s="29"/>
      <c r="C800" s="30"/>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c r="AK800" s="29"/>
      <c r="AL800" s="29"/>
      <c r="AM800" s="29"/>
      <c r="AN800" s="29"/>
      <c r="AO800" s="29"/>
      <c r="AP800" s="29"/>
      <c r="AQ800" s="29"/>
      <c r="AR800" s="29"/>
      <c r="AS800" s="29"/>
      <c r="AT800" s="29"/>
      <c r="AU800" s="29"/>
      <c r="AV800" s="29"/>
      <c r="AW800" s="29"/>
      <c r="AX800" s="29"/>
      <c r="AY800" s="29"/>
      <c r="AZ800" s="29"/>
      <c r="BA800" s="29"/>
      <c r="BB800" s="29"/>
      <c r="BC800" s="29"/>
      <c r="BD800" s="29"/>
      <c r="BE800" s="29"/>
      <c r="BF800" s="29"/>
      <c r="BG800" s="29"/>
      <c r="BH800" s="29"/>
    </row>
    <row r="801" spans="1:60" ht="14.25" customHeight="1" x14ac:dyDescent="0.3">
      <c r="A801" s="28"/>
      <c r="B801" s="29"/>
      <c r="C801" s="30"/>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c r="AN801" s="29"/>
      <c r="AO801" s="29"/>
      <c r="AP801" s="29"/>
      <c r="AQ801" s="29"/>
      <c r="AR801" s="29"/>
      <c r="AS801" s="29"/>
      <c r="AT801" s="29"/>
      <c r="AU801" s="29"/>
      <c r="AV801" s="29"/>
      <c r="AW801" s="29"/>
      <c r="AX801" s="29"/>
      <c r="AY801" s="29"/>
      <c r="AZ801" s="29"/>
      <c r="BA801" s="29"/>
      <c r="BB801" s="29"/>
      <c r="BC801" s="29"/>
      <c r="BD801" s="29"/>
      <c r="BE801" s="29"/>
      <c r="BF801" s="29"/>
      <c r="BG801" s="29"/>
      <c r="BH801" s="29"/>
    </row>
    <row r="802" spans="1:60" ht="14.25" customHeight="1" x14ac:dyDescent="0.3">
      <c r="A802" s="28"/>
      <c r="B802" s="29"/>
      <c r="C802" s="30"/>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c r="AH802" s="29"/>
      <c r="AI802" s="29"/>
      <c r="AJ802" s="29"/>
      <c r="AK802" s="29"/>
      <c r="AL802" s="29"/>
      <c r="AM802" s="29"/>
      <c r="AN802" s="29"/>
      <c r="AO802" s="29"/>
      <c r="AP802" s="29"/>
      <c r="AQ802" s="29"/>
      <c r="AR802" s="29"/>
      <c r="AS802" s="29"/>
      <c r="AT802" s="29"/>
      <c r="AU802" s="29"/>
      <c r="AV802" s="29"/>
      <c r="AW802" s="29"/>
      <c r="AX802" s="29"/>
      <c r="AY802" s="29"/>
      <c r="AZ802" s="29"/>
      <c r="BA802" s="29"/>
      <c r="BB802" s="29"/>
      <c r="BC802" s="29"/>
      <c r="BD802" s="29"/>
      <c r="BE802" s="29"/>
      <c r="BF802" s="29"/>
      <c r="BG802" s="29"/>
      <c r="BH802" s="29"/>
    </row>
    <row r="803" spans="1:60" ht="14.25" customHeight="1" x14ac:dyDescent="0.3">
      <c r="A803" s="28"/>
      <c r="B803" s="29"/>
      <c r="C803" s="30"/>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c r="AN803" s="29"/>
      <c r="AO803" s="29"/>
      <c r="AP803" s="29"/>
      <c r="AQ803" s="29"/>
      <c r="AR803" s="29"/>
      <c r="AS803" s="29"/>
      <c r="AT803" s="29"/>
      <c r="AU803" s="29"/>
      <c r="AV803" s="29"/>
      <c r="AW803" s="29"/>
      <c r="AX803" s="29"/>
      <c r="AY803" s="29"/>
      <c r="AZ803" s="29"/>
      <c r="BA803" s="29"/>
      <c r="BB803" s="29"/>
      <c r="BC803" s="29"/>
      <c r="BD803" s="29"/>
      <c r="BE803" s="29"/>
      <c r="BF803" s="29"/>
      <c r="BG803" s="29"/>
      <c r="BH803" s="29"/>
    </row>
    <row r="804" spans="1:60" ht="14.25" customHeight="1" x14ac:dyDescent="0.3">
      <c r="A804" s="28"/>
      <c r="B804" s="29"/>
      <c r="C804" s="30"/>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c r="AH804" s="29"/>
      <c r="AI804" s="29"/>
      <c r="AJ804" s="29"/>
      <c r="AK804" s="29"/>
      <c r="AL804" s="29"/>
      <c r="AM804" s="29"/>
      <c r="AN804" s="29"/>
      <c r="AO804" s="29"/>
      <c r="AP804" s="29"/>
      <c r="AQ804" s="29"/>
      <c r="AR804" s="29"/>
      <c r="AS804" s="29"/>
      <c r="AT804" s="29"/>
      <c r="AU804" s="29"/>
      <c r="AV804" s="29"/>
      <c r="AW804" s="29"/>
      <c r="AX804" s="29"/>
      <c r="AY804" s="29"/>
      <c r="AZ804" s="29"/>
      <c r="BA804" s="29"/>
      <c r="BB804" s="29"/>
      <c r="BC804" s="29"/>
      <c r="BD804" s="29"/>
      <c r="BE804" s="29"/>
      <c r="BF804" s="29"/>
      <c r="BG804" s="29"/>
      <c r="BH804" s="29"/>
    </row>
    <row r="805" spans="1:60" ht="14.25" customHeight="1" x14ac:dyDescent="0.3">
      <c r="A805" s="28"/>
      <c r="B805" s="29"/>
      <c r="C805" s="30"/>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c r="AR805" s="29"/>
      <c r="AS805" s="29"/>
      <c r="AT805" s="29"/>
      <c r="AU805" s="29"/>
      <c r="AV805" s="29"/>
      <c r="AW805" s="29"/>
      <c r="AX805" s="29"/>
      <c r="AY805" s="29"/>
      <c r="AZ805" s="29"/>
      <c r="BA805" s="29"/>
      <c r="BB805" s="29"/>
      <c r="BC805" s="29"/>
      <c r="BD805" s="29"/>
      <c r="BE805" s="29"/>
      <c r="BF805" s="29"/>
      <c r="BG805" s="29"/>
      <c r="BH805" s="29"/>
    </row>
    <row r="806" spans="1:60" ht="14.25" customHeight="1" x14ac:dyDescent="0.3">
      <c r="A806" s="28"/>
      <c r="B806" s="29"/>
      <c r="C806" s="30"/>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J806" s="29"/>
      <c r="AK806" s="29"/>
      <c r="AL806" s="29"/>
      <c r="AM806" s="29"/>
      <c r="AN806" s="29"/>
      <c r="AO806" s="29"/>
      <c r="AP806" s="29"/>
      <c r="AQ806" s="29"/>
      <c r="AR806" s="29"/>
      <c r="AS806" s="29"/>
      <c r="AT806" s="29"/>
      <c r="AU806" s="29"/>
      <c r="AV806" s="29"/>
      <c r="AW806" s="29"/>
      <c r="AX806" s="29"/>
      <c r="AY806" s="29"/>
      <c r="AZ806" s="29"/>
      <c r="BA806" s="29"/>
      <c r="BB806" s="29"/>
      <c r="BC806" s="29"/>
      <c r="BD806" s="29"/>
      <c r="BE806" s="29"/>
      <c r="BF806" s="29"/>
      <c r="BG806" s="29"/>
      <c r="BH806" s="29"/>
    </row>
    <row r="807" spans="1:60" ht="14.25" customHeight="1" x14ac:dyDescent="0.3">
      <c r="A807" s="28"/>
      <c r="B807" s="29"/>
      <c r="C807" s="30"/>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c r="AR807" s="29"/>
      <c r="AS807" s="29"/>
      <c r="AT807" s="29"/>
      <c r="AU807" s="29"/>
      <c r="AV807" s="29"/>
      <c r="AW807" s="29"/>
      <c r="AX807" s="29"/>
      <c r="AY807" s="29"/>
      <c r="AZ807" s="29"/>
      <c r="BA807" s="29"/>
      <c r="BB807" s="29"/>
      <c r="BC807" s="29"/>
      <c r="BD807" s="29"/>
      <c r="BE807" s="29"/>
      <c r="BF807" s="29"/>
      <c r="BG807" s="29"/>
      <c r="BH807" s="29"/>
    </row>
    <row r="808" spans="1:60" ht="14.25" customHeight="1" x14ac:dyDescent="0.3">
      <c r="A808" s="28"/>
      <c r="B808" s="29"/>
      <c r="C808" s="30"/>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J808" s="29"/>
      <c r="AK808" s="29"/>
      <c r="AL808" s="29"/>
      <c r="AM808" s="29"/>
      <c r="AN808" s="29"/>
      <c r="AO808" s="29"/>
      <c r="AP808" s="29"/>
      <c r="AQ808" s="29"/>
      <c r="AR808" s="29"/>
      <c r="AS808" s="29"/>
      <c r="AT808" s="29"/>
      <c r="AU808" s="29"/>
      <c r="AV808" s="29"/>
      <c r="AW808" s="29"/>
      <c r="AX808" s="29"/>
      <c r="AY808" s="29"/>
      <c r="AZ808" s="29"/>
      <c r="BA808" s="29"/>
      <c r="BB808" s="29"/>
      <c r="BC808" s="29"/>
      <c r="BD808" s="29"/>
      <c r="BE808" s="29"/>
      <c r="BF808" s="29"/>
      <c r="BG808" s="29"/>
      <c r="BH808" s="29"/>
    </row>
    <row r="809" spans="1:60" ht="14.25" customHeight="1" x14ac:dyDescent="0.3">
      <c r="A809" s="28"/>
      <c r="B809" s="29"/>
      <c r="C809" s="30"/>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c r="AR809" s="29"/>
      <c r="AS809" s="29"/>
      <c r="AT809" s="29"/>
      <c r="AU809" s="29"/>
      <c r="AV809" s="29"/>
      <c r="AW809" s="29"/>
      <c r="AX809" s="29"/>
      <c r="AY809" s="29"/>
      <c r="AZ809" s="29"/>
      <c r="BA809" s="29"/>
      <c r="BB809" s="29"/>
      <c r="BC809" s="29"/>
      <c r="BD809" s="29"/>
      <c r="BE809" s="29"/>
      <c r="BF809" s="29"/>
      <c r="BG809" s="29"/>
      <c r="BH809" s="29"/>
    </row>
    <row r="810" spans="1:60" ht="14.25" customHeight="1" x14ac:dyDescent="0.3">
      <c r="A810" s="28"/>
      <c r="B810" s="29"/>
      <c r="C810" s="30"/>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c r="AH810" s="29"/>
      <c r="AI810" s="29"/>
      <c r="AJ810" s="29"/>
      <c r="AK810" s="29"/>
      <c r="AL810" s="29"/>
      <c r="AM810" s="29"/>
      <c r="AN810" s="29"/>
      <c r="AO810" s="29"/>
      <c r="AP810" s="29"/>
      <c r="AQ810" s="29"/>
      <c r="AR810" s="29"/>
      <c r="AS810" s="29"/>
      <c r="AT810" s="29"/>
      <c r="AU810" s="29"/>
      <c r="AV810" s="29"/>
      <c r="AW810" s="29"/>
      <c r="AX810" s="29"/>
      <c r="AY810" s="29"/>
      <c r="AZ810" s="29"/>
      <c r="BA810" s="29"/>
      <c r="BB810" s="29"/>
      <c r="BC810" s="29"/>
      <c r="BD810" s="29"/>
      <c r="BE810" s="29"/>
      <c r="BF810" s="29"/>
      <c r="BG810" s="29"/>
      <c r="BH810" s="29"/>
    </row>
    <row r="811" spans="1:60" ht="14.25" customHeight="1" x14ac:dyDescent="0.3">
      <c r="A811" s="28"/>
      <c r="B811" s="29"/>
      <c r="C811" s="30"/>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c r="AK811" s="29"/>
      <c r="AL811" s="29"/>
      <c r="AM811" s="29"/>
      <c r="AN811" s="29"/>
      <c r="AO811" s="29"/>
      <c r="AP811" s="29"/>
      <c r="AQ811" s="29"/>
      <c r="AR811" s="29"/>
      <c r="AS811" s="29"/>
      <c r="AT811" s="29"/>
      <c r="AU811" s="29"/>
      <c r="AV811" s="29"/>
      <c r="AW811" s="29"/>
      <c r="AX811" s="29"/>
      <c r="AY811" s="29"/>
      <c r="AZ811" s="29"/>
      <c r="BA811" s="29"/>
      <c r="BB811" s="29"/>
      <c r="BC811" s="29"/>
      <c r="BD811" s="29"/>
      <c r="BE811" s="29"/>
      <c r="BF811" s="29"/>
      <c r="BG811" s="29"/>
      <c r="BH811" s="29"/>
    </row>
    <row r="812" spans="1:60" ht="14.25" customHeight="1" x14ac:dyDescent="0.3">
      <c r="A812" s="28"/>
      <c r="B812" s="29"/>
      <c r="C812" s="30"/>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29"/>
      <c r="AI812" s="29"/>
      <c r="AJ812" s="29"/>
      <c r="AK812" s="29"/>
      <c r="AL812" s="29"/>
      <c r="AM812" s="29"/>
      <c r="AN812" s="29"/>
      <c r="AO812" s="29"/>
      <c r="AP812" s="29"/>
      <c r="AQ812" s="29"/>
      <c r="AR812" s="29"/>
      <c r="AS812" s="29"/>
      <c r="AT812" s="29"/>
      <c r="AU812" s="29"/>
      <c r="AV812" s="29"/>
      <c r="AW812" s="29"/>
      <c r="AX812" s="29"/>
      <c r="AY812" s="29"/>
      <c r="AZ812" s="29"/>
      <c r="BA812" s="29"/>
      <c r="BB812" s="29"/>
      <c r="BC812" s="29"/>
      <c r="BD812" s="29"/>
      <c r="BE812" s="29"/>
      <c r="BF812" s="29"/>
      <c r="BG812" s="29"/>
      <c r="BH812" s="29"/>
    </row>
    <row r="813" spans="1:60" ht="14.25" customHeight="1" x14ac:dyDescent="0.3">
      <c r="A813" s="28"/>
      <c r="B813" s="29"/>
      <c r="C813" s="30"/>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c r="AK813" s="29"/>
      <c r="AL813" s="29"/>
      <c r="AM813" s="29"/>
      <c r="AN813" s="29"/>
      <c r="AO813" s="29"/>
      <c r="AP813" s="29"/>
      <c r="AQ813" s="29"/>
      <c r="AR813" s="29"/>
      <c r="AS813" s="29"/>
      <c r="AT813" s="29"/>
      <c r="AU813" s="29"/>
      <c r="AV813" s="29"/>
      <c r="AW813" s="29"/>
      <c r="AX813" s="29"/>
      <c r="AY813" s="29"/>
      <c r="AZ813" s="29"/>
      <c r="BA813" s="29"/>
      <c r="BB813" s="29"/>
      <c r="BC813" s="29"/>
      <c r="BD813" s="29"/>
      <c r="BE813" s="29"/>
      <c r="BF813" s="29"/>
      <c r="BG813" s="29"/>
      <c r="BH813" s="29"/>
    </row>
    <row r="814" spans="1:60" ht="14.25" customHeight="1" x14ac:dyDescent="0.3">
      <c r="A814" s="28"/>
      <c r="B814" s="29"/>
      <c r="C814" s="30"/>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29"/>
      <c r="AI814" s="29"/>
      <c r="AJ814" s="29"/>
      <c r="AK814" s="29"/>
      <c r="AL814" s="29"/>
      <c r="AM814" s="29"/>
      <c r="AN814" s="29"/>
      <c r="AO814" s="29"/>
      <c r="AP814" s="29"/>
      <c r="AQ814" s="29"/>
      <c r="AR814" s="29"/>
      <c r="AS814" s="29"/>
      <c r="AT814" s="29"/>
      <c r="AU814" s="29"/>
      <c r="AV814" s="29"/>
      <c r="AW814" s="29"/>
      <c r="AX814" s="29"/>
      <c r="AY814" s="29"/>
      <c r="AZ814" s="29"/>
      <c r="BA814" s="29"/>
      <c r="BB814" s="29"/>
      <c r="BC814" s="29"/>
      <c r="BD814" s="29"/>
      <c r="BE814" s="29"/>
      <c r="BF814" s="29"/>
      <c r="BG814" s="29"/>
      <c r="BH814" s="29"/>
    </row>
    <row r="815" spans="1:60" ht="14.25" customHeight="1" x14ac:dyDescent="0.3">
      <c r="A815" s="28"/>
      <c r="B815" s="29"/>
      <c r="C815" s="30"/>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c r="AK815" s="29"/>
      <c r="AL815" s="29"/>
      <c r="AM815" s="29"/>
      <c r="AN815" s="29"/>
      <c r="AO815" s="29"/>
      <c r="AP815" s="29"/>
      <c r="AQ815" s="29"/>
      <c r="AR815" s="29"/>
      <c r="AS815" s="29"/>
      <c r="AT815" s="29"/>
      <c r="AU815" s="29"/>
      <c r="AV815" s="29"/>
      <c r="AW815" s="29"/>
      <c r="AX815" s="29"/>
      <c r="AY815" s="29"/>
      <c r="AZ815" s="29"/>
      <c r="BA815" s="29"/>
      <c r="BB815" s="29"/>
      <c r="BC815" s="29"/>
      <c r="BD815" s="29"/>
      <c r="BE815" s="29"/>
      <c r="BF815" s="29"/>
      <c r="BG815" s="29"/>
      <c r="BH815" s="29"/>
    </row>
    <row r="816" spans="1:60" ht="14.25" customHeight="1" x14ac:dyDescent="0.3">
      <c r="A816" s="28"/>
      <c r="B816" s="29"/>
      <c r="C816" s="30"/>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c r="AH816" s="29"/>
      <c r="AI816" s="29"/>
      <c r="AJ816" s="29"/>
      <c r="AK816" s="29"/>
      <c r="AL816" s="29"/>
      <c r="AM816" s="29"/>
      <c r="AN816" s="29"/>
      <c r="AO816" s="29"/>
      <c r="AP816" s="29"/>
      <c r="AQ816" s="29"/>
      <c r="AR816" s="29"/>
      <c r="AS816" s="29"/>
      <c r="AT816" s="29"/>
      <c r="AU816" s="29"/>
      <c r="AV816" s="29"/>
      <c r="AW816" s="29"/>
      <c r="AX816" s="29"/>
      <c r="AY816" s="29"/>
      <c r="AZ816" s="29"/>
      <c r="BA816" s="29"/>
      <c r="BB816" s="29"/>
      <c r="BC816" s="29"/>
      <c r="BD816" s="29"/>
      <c r="BE816" s="29"/>
      <c r="BF816" s="29"/>
      <c r="BG816" s="29"/>
      <c r="BH816" s="29"/>
    </row>
    <row r="817" spans="1:60" ht="14.25" customHeight="1" x14ac:dyDescent="0.3">
      <c r="A817" s="28"/>
      <c r="B817" s="29"/>
      <c r="C817" s="30"/>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c r="AN817" s="29"/>
      <c r="AO817" s="29"/>
      <c r="AP817" s="29"/>
      <c r="AQ817" s="29"/>
      <c r="AR817" s="29"/>
      <c r="AS817" s="29"/>
      <c r="AT817" s="29"/>
      <c r="AU817" s="29"/>
      <c r="AV817" s="29"/>
      <c r="AW817" s="29"/>
      <c r="AX817" s="29"/>
      <c r="AY817" s="29"/>
      <c r="AZ817" s="29"/>
      <c r="BA817" s="29"/>
      <c r="BB817" s="29"/>
      <c r="BC817" s="29"/>
      <c r="BD817" s="29"/>
      <c r="BE817" s="29"/>
      <c r="BF817" s="29"/>
      <c r="BG817" s="29"/>
      <c r="BH817" s="29"/>
    </row>
    <row r="818" spans="1:60" ht="14.25" customHeight="1" x14ac:dyDescent="0.3">
      <c r="A818" s="28"/>
      <c r="B818" s="29"/>
      <c r="C818" s="30"/>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c r="AF818" s="29"/>
      <c r="AG818" s="29"/>
      <c r="AH818" s="29"/>
      <c r="AI818" s="29"/>
      <c r="AJ818" s="29"/>
      <c r="AK818" s="29"/>
      <c r="AL818" s="29"/>
      <c r="AM818" s="29"/>
      <c r="AN818" s="29"/>
      <c r="AO818" s="29"/>
      <c r="AP818" s="29"/>
      <c r="AQ818" s="29"/>
      <c r="AR818" s="29"/>
      <c r="AS818" s="29"/>
      <c r="AT818" s="29"/>
      <c r="AU818" s="29"/>
      <c r="AV818" s="29"/>
      <c r="AW818" s="29"/>
      <c r="AX818" s="29"/>
      <c r="AY818" s="29"/>
      <c r="AZ818" s="29"/>
      <c r="BA818" s="29"/>
      <c r="BB818" s="29"/>
      <c r="BC818" s="29"/>
      <c r="BD818" s="29"/>
      <c r="BE818" s="29"/>
      <c r="BF818" s="29"/>
      <c r="BG818" s="29"/>
      <c r="BH818" s="29"/>
    </row>
    <row r="819" spans="1:60" ht="14.25" customHeight="1" x14ac:dyDescent="0.3">
      <c r="A819" s="28"/>
      <c r="B819" s="29"/>
      <c r="C819" s="30"/>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J819" s="29"/>
      <c r="AK819" s="29"/>
      <c r="AL819" s="29"/>
      <c r="AM819" s="29"/>
      <c r="AN819" s="29"/>
      <c r="AO819" s="29"/>
      <c r="AP819" s="29"/>
      <c r="AQ819" s="29"/>
      <c r="AR819" s="29"/>
      <c r="AS819" s="29"/>
      <c r="AT819" s="29"/>
      <c r="AU819" s="29"/>
      <c r="AV819" s="29"/>
      <c r="AW819" s="29"/>
      <c r="AX819" s="29"/>
      <c r="AY819" s="29"/>
      <c r="AZ819" s="29"/>
      <c r="BA819" s="29"/>
      <c r="BB819" s="29"/>
      <c r="BC819" s="29"/>
      <c r="BD819" s="29"/>
      <c r="BE819" s="29"/>
      <c r="BF819" s="29"/>
      <c r="BG819" s="29"/>
      <c r="BH819" s="29"/>
    </row>
    <row r="820" spans="1:60" ht="14.25" customHeight="1" x14ac:dyDescent="0.3">
      <c r="A820" s="28"/>
      <c r="B820" s="29"/>
      <c r="C820" s="30"/>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c r="AF820" s="29"/>
      <c r="AG820" s="29"/>
      <c r="AH820" s="29"/>
      <c r="AI820" s="29"/>
      <c r="AJ820" s="29"/>
      <c r="AK820" s="29"/>
      <c r="AL820" s="29"/>
      <c r="AM820" s="29"/>
      <c r="AN820" s="29"/>
      <c r="AO820" s="29"/>
      <c r="AP820" s="29"/>
      <c r="AQ820" s="29"/>
      <c r="AR820" s="29"/>
      <c r="AS820" s="29"/>
      <c r="AT820" s="29"/>
      <c r="AU820" s="29"/>
      <c r="AV820" s="29"/>
      <c r="AW820" s="29"/>
      <c r="AX820" s="29"/>
      <c r="AY820" s="29"/>
      <c r="AZ820" s="29"/>
      <c r="BA820" s="29"/>
      <c r="BB820" s="29"/>
      <c r="BC820" s="29"/>
      <c r="BD820" s="29"/>
      <c r="BE820" s="29"/>
      <c r="BF820" s="29"/>
      <c r="BG820" s="29"/>
      <c r="BH820" s="29"/>
    </row>
    <row r="821" spans="1:60" ht="14.25" customHeight="1" x14ac:dyDescent="0.3">
      <c r="A821" s="28"/>
      <c r="B821" s="29"/>
      <c r="C821" s="30"/>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J821" s="29"/>
      <c r="AK821" s="29"/>
      <c r="AL821" s="29"/>
      <c r="AM821" s="29"/>
      <c r="AN821" s="29"/>
      <c r="AO821" s="29"/>
      <c r="AP821" s="29"/>
      <c r="AQ821" s="29"/>
      <c r="AR821" s="29"/>
      <c r="AS821" s="29"/>
      <c r="AT821" s="29"/>
      <c r="AU821" s="29"/>
      <c r="AV821" s="29"/>
      <c r="AW821" s="29"/>
      <c r="AX821" s="29"/>
      <c r="AY821" s="29"/>
      <c r="AZ821" s="29"/>
      <c r="BA821" s="29"/>
      <c r="BB821" s="29"/>
      <c r="BC821" s="29"/>
      <c r="BD821" s="29"/>
      <c r="BE821" s="29"/>
      <c r="BF821" s="29"/>
      <c r="BG821" s="29"/>
      <c r="BH821" s="29"/>
    </row>
    <row r="822" spans="1:60" ht="14.25" customHeight="1" x14ac:dyDescent="0.3">
      <c r="A822" s="28"/>
      <c r="B822" s="29"/>
      <c r="C822" s="30"/>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c r="AF822" s="29"/>
      <c r="AG822" s="29"/>
      <c r="AH822" s="29"/>
      <c r="AI822" s="29"/>
      <c r="AJ822" s="29"/>
      <c r="AK822" s="29"/>
      <c r="AL822" s="29"/>
      <c r="AM822" s="29"/>
      <c r="AN822" s="29"/>
      <c r="AO822" s="29"/>
      <c r="AP822" s="29"/>
      <c r="AQ822" s="29"/>
      <c r="AR822" s="29"/>
      <c r="AS822" s="29"/>
      <c r="AT822" s="29"/>
      <c r="AU822" s="29"/>
      <c r="AV822" s="29"/>
      <c r="AW822" s="29"/>
      <c r="AX822" s="29"/>
      <c r="AY822" s="29"/>
      <c r="AZ822" s="29"/>
      <c r="BA822" s="29"/>
      <c r="BB822" s="29"/>
      <c r="BC822" s="29"/>
      <c r="BD822" s="29"/>
      <c r="BE822" s="29"/>
      <c r="BF822" s="29"/>
      <c r="BG822" s="29"/>
      <c r="BH822" s="29"/>
    </row>
    <row r="823" spans="1:60" ht="14.25" customHeight="1" x14ac:dyDescent="0.3">
      <c r="A823" s="28"/>
      <c r="B823" s="29"/>
      <c r="C823" s="30"/>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J823" s="29"/>
      <c r="AK823" s="29"/>
      <c r="AL823" s="29"/>
      <c r="AM823" s="29"/>
      <c r="AN823" s="29"/>
      <c r="AO823" s="29"/>
      <c r="AP823" s="29"/>
      <c r="AQ823" s="29"/>
      <c r="AR823" s="29"/>
      <c r="AS823" s="29"/>
      <c r="AT823" s="29"/>
      <c r="AU823" s="29"/>
      <c r="AV823" s="29"/>
      <c r="AW823" s="29"/>
      <c r="AX823" s="29"/>
      <c r="AY823" s="29"/>
      <c r="AZ823" s="29"/>
      <c r="BA823" s="29"/>
      <c r="BB823" s="29"/>
      <c r="BC823" s="29"/>
      <c r="BD823" s="29"/>
      <c r="BE823" s="29"/>
      <c r="BF823" s="29"/>
      <c r="BG823" s="29"/>
      <c r="BH823" s="29"/>
    </row>
    <row r="824" spans="1:60" ht="14.25" customHeight="1" x14ac:dyDescent="0.3">
      <c r="A824" s="28"/>
      <c r="B824" s="29"/>
      <c r="C824" s="30"/>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c r="AF824" s="29"/>
      <c r="AG824" s="29"/>
      <c r="AH824" s="29"/>
      <c r="AI824" s="29"/>
      <c r="AJ824" s="29"/>
      <c r="AK824" s="29"/>
      <c r="AL824" s="29"/>
      <c r="AM824" s="29"/>
      <c r="AN824" s="29"/>
      <c r="AO824" s="29"/>
      <c r="AP824" s="29"/>
      <c r="AQ824" s="29"/>
      <c r="AR824" s="29"/>
      <c r="AS824" s="29"/>
      <c r="AT824" s="29"/>
      <c r="AU824" s="29"/>
      <c r="AV824" s="29"/>
      <c r="AW824" s="29"/>
      <c r="AX824" s="29"/>
      <c r="AY824" s="29"/>
      <c r="AZ824" s="29"/>
      <c r="BA824" s="29"/>
      <c r="BB824" s="29"/>
      <c r="BC824" s="29"/>
      <c r="BD824" s="29"/>
      <c r="BE824" s="29"/>
      <c r="BF824" s="29"/>
      <c r="BG824" s="29"/>
      <c r="BH824" s="29"/>
    </row>
    <row r="825" spans="1:60" ht="14.25" customHeight="1" x14ac:dyDescent="0.3">
      <c r="A825" s="28"/>
      <c r="B825" s="29"/>
      <c r="C825" s="30"/>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J825" s="29"/>
      <c r="AK825" s="29"/>
      <c r="AL825" s="29"/>
      <c r="AM825" s="29"/>
      <c r="AN825" s="29"/>
      <c r="AO825" s="29"/>
      <c r="AP825" s="29"/>
      <c r="AQ825" s="29"/>
      <c r="AR825" s="29"/>
      <c r="AS825" s="29"/>
      <c r="AT825" s="29"/>
      <c r="AU825" s="29"/>
      <c r="AV825" s="29"/>
      <c r="AW825" s="29"/>
      <c r="AX825" s="29"/>
      <c r="AY825" s="29"/>
      <c r="AZ825" s="29"/>
      <c r="BA825" s="29"/>
      <c r="BB825" s="29"/>
      <c r="BC825" s="29"/>
      <c r="BD825" s="29"/>
      <c r="BE825" s="29"/>
      <c r="BF825" s="29"/>
      <c r="BG825" s="29"/>
      <c r="BH825" s="29"/>
    </row>
    <row r="826" spans="1:60" ht="14.25" customHeight="1" x14ac:dyDescent="0.3">
      <c r="A826" s="28"/>
      <c r="B826" s="29"/>
      <c r="C826" s="30"/>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c r="AF826" s="29"/>
      <c r="AG826" s="29"/>
      <c r="AH826" s="29"/>
      <c r="AI826" s="29"/>
      <c r="AJ826" s="29"/>
      <c r="AK826" s="29"/>
      <c r="AL826" s="29"/>
      <c r="AM826" s="29"/>
      <c r="AN826" s="29"/>
      <c r="AO826" s="29"/>
      <c r="AP826" s="29"/>
      <c r="AQ826" s="29"/>
      <c r="AR826" s="29"/>
      <c r="AS826" s="29"/>
      <c r="AT826" s="29"/>
      <c r="AU826" s="29"/>
      <c r="AV826" s="29"/>
      <c r="AW826" s="29"/>
      <c r="AX826" s="29"/>
      <c r="AY826" s="29"/>
      <c r="AZ826" s="29"/>
      <c r="BA826" s="29"/>
      <c r="BB826" s="29"/>
      <c r="BC826" s="29"/>
      <c r="BD826" s="29"/>
      <c r="BE826" s="29"/>
      <c r="BF826" s="29"/>
      <c r="BG826" s="29"/>
      <c r="BH826" s="29"/>
    </row>
    <row r="827" spans="1:60" ht="14.25" customHeight="1" x14ac:dyDescent="0.3">
      <c r="A827" s="28"/>
      <c r="B827" s="29"/>
      <c r="C827" s="30"/>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J827" s="29"/>
      <c r="AK827" s="29"/>
      <c r="AL827" s="29"/>
      <c r="AM827" s="29"/>
      <c r="AN827" s="29"/>
      <c r="AO827" s="29"/>
      <c r="AP827" s="29"/>
      <c r="AQ827" s="29"/>
      <c r="AR827" s="29"/>
      <c r="AS827" s="29"/>
      <c r="AT827" s="29"/>
      <c r="AU827" s="29"/>
      <c r="AV827" s="29"/>
      <c r="AW827" s="29"/>
      <c r="AX827" s="29"/>
      <c r="AY827" s="29"/>
      <c r="AZ827" s="29"/>
      <c r="BA827" s="29"/>
      <c r="BB827" s="29"/>
      <c r="BC827" s="29"/>
      <c r="BD827" s="29"/>
      <c r="BE827" s="29"/>
      <c r="BF827" s="29"/>
      <c r="BG827" s="29"/>
      <c r="BH827" s="29"/>
    </row>
    <row r="828" spans="1:60" ht="14.25" customHeight="1" x14ac:dyDescent="0.3">
      <c r="A828" s="28"/>
      <c r="B828" s="29"/>
      <c r="C828" s="30"/>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c r="AG828" s="29"/>
      <c r="AH828" s="29"/>
      <c r="AI828" s="29"/>
      <c r="AJ828" s="29"/>
      <c r="AK828" s="29"/>
      <c r="AL828" s="29"/>
      <c r="AM828" s="29"/>
      <c r="AN828" s="29"/>
      <c r="AO828" s="29"/>
      <c r="AP828" s="29"/>
      <c r="AQ828" s="29"/>
      <c r="AR828" s="29"/>
      <c r="AS828" s="29"/>
      <c r="AT828" s="29"/>
      <c r="AU828" s="29"/>
      <c r="AV828" s="29"/>
      <c r="AW828" s="29"/>
      <c r="AX828" s="29"/>
      <c r="AY828" s="29"/>
      <c r="AZ828" s="29"/>
      <c r="BA828" s="29"/>
      <c r="BB828" s="29"/>
      <c r="BC828" s="29"/>
      <c r="BD828" s="29"/>
      <c r="BE828" s="29"/>
      <c r="BF828" s="29"/>
      <c r="BG828" s="29"/>
      <c r="BH828" s="29"/>
    </row>
    <row r="829" spans="1:60" ht="14.25" customHeight="1" x14ac:dyDescent="0.3">
      <c r="A829" s="28"/>
      <c r="B829" s="29"/>
      <c r="C829" s="30"/>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J829" s="29"/>
      <c r="AK829" s="29"/>
      <c r="AL829" s="29"/>
      <c r="AM829" s="29"/>
      <c r="AN829" s="29"/>
      <c r="AO829" s="29"/>
      <c r="AP829" s="29"/>
      <c r="AQ829" s="29"/>
      <c r="AR829" s="29"/>
      <c r="AS829" s="29"/>
      <c r="AT829" s="29"/>
      <c r="AU829" s="29"/>
      <c r="AV829" s="29"/>
      <c r="AW829" s="29"/>
      <c r="AX829" s="29"/>
      <c r="AY829" s="29"/>
      <c r="AZ829" s="29"/>
      <c r="BA829" s="29"/>
      <c r="BB829" s="29"/>
      <c r="BC829" s="29"/>
      <c r="BD829" s="29"/>
      <c r="BE829" s="29"/>
      <c r="BF829" s="29"/>
      <c r="BG829" s="29"/>
      <c r="BH829" s="29"/>
    </row>
    <row r="830" spans="1:60" ht="14.25" customHeight="1" x14ac:dyDescent="0.3">
      <c r="A830" s="28"/>
      <c r="B830" s="29"/>
      <c r="C830" s="30"/>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c r="AH830" s="29"/>
      <c r="AI830" s="29"/>
      <c r="AJ830" s="29"/>
      <c r="AK830" s="29"/>
      <c r="AL830" s="29"/>
      <c r="AM830" s="29"/>
      <c r="AN830" s="29"/>
      <c r="AO830" s="29"/>
      <c r="AP830" s="29"/>
      <c r="AQ830" s="29"/>
      <c r="AR830" s="29"/>
      <c r="AS830" s="29"/>
      <c r="AT830" s="29"/>
      <c r="AU830" s="29"/>
      <c r="AV830" s="29"/>
      <c r="AW830" s="29"/>
      <c r="AX830" s="29"/>
      <c r="AY830" s="29"/>
      <c r="AZ830" s="29"/>
      <c r="BA830" s="29"/>
      <c r="BB830" s="29"/>
      <c r="BC830" s="29"/>
      <c r="BD830" s="29"/>
      <c r="BE830" s="29"/>
      <c r="BF830" s="29"/>
      <c r="BG830" s="29"/>
      <c r="BH830" s="29"/>
    </row>
    <row r="831" spans="1:60" ht="14.25" customHeight="1" x14ac:dyDescent="0.3">
      <c r="A831" s="28"/>
      <c r="B831" s="29"/>
      <c r="C831" s="30"/>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J831" s="29"/>
      <c r="AK831" s="29"/>
      <c r="AL831" s="29"/>
      <c r="AM831" s="29"/>
      <c r="AN831" s="29"/>
      <c r="AO831" s="29"/>
      <c r="AP831" s="29"/>
      <c r="AQ831" s="29"/>
      <c r="AR831" s="29"/>
      <c r="AS831" s="29"/>
      <c r="AT831" s="29"/>
      <c r="AU831" s="29"/>
      <c r="AV831" s="29"/>
      <c r="AW831" s="29"/>
      <c r="AX831" s="29"/>
      <c r="AY831" s="29"/>
      <c r="AZ831" s="29"/>
      <c r="BA831" s="29"/>
      <c r="BB831" s="29"/>
      <c r="BC831" s="29"/>
      <c r="BD831" s="29"/>
      <c r="BE831" s="29"/>
      <c r="BF831" s="29"/>
      <c r="BG831" s="29"/>
      <c r="BH831" s="29"/>
    </row>
    <row r="832" spans="1:60" ht="14.25" customHeight="1" x14ac:dyDescent="0.3">
      <c r="A832" s="28"/>
      <c r="B832" s="29"/>
      <c r="C832" s="30"/>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c r="AH832" s="29"/>
      <c r="AI832" s="29"/>
      <c r="AJ832" s="29"/>
      <c r="AK832" s="29"/>
      <c r="AL832" s="29"/>
      <c r="AM832" s="29"/>
      <c r="AN832" s="29"/>
      <c r="AO832" s="29"/>
      <c r="AP832" s="29"/>
      <c r="AQ832" s="29"/>
      <c r="AR832" s="29"/>
      <c r="AS832" s="29"/>
      <c r="AT832" s="29"/>
      <c r="AU832" s="29"/>
      <c r="AV832" s="29"/>
      <c r="AW832" s="29"/>
      <c r="AX832" s="29"/>
      <c r="AY832" s="29"/>
      <c r="AZ832" s="29"/>
      <c r="BA832" s="29"/>
      <c r="BB832" s="29"/>
      <c r="BC832" s="29"/>
      <c r="BD832" s="29"/>
      <c r="BE832" s="29"/>
      <c r="BF832" s="29"/>
      <c r="BG832" s="29"/>
      <c r="BH832" s="29"/>
    </row>
    <row r="833" spans="1:60" ht="14.25" customHeight="1" x14ac:dyDescent="0.3">
      <c r="A833" s="28"/>
      <c r="B833" s="29"/>
      <c r="C833" s="30"/>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c r="AN833" s="29"/>
      <c r="AO833" s="29"/>
      <c r="AP833" s="29"/>
      <c r="AQ833" s="29"/>
      <c r="AR833" s="29"/>
      <c r="AS833" s="29"/>
      <c r="AT833" s="29"/>
      <c r="AU833" s="29"/>
      <c r="AV833" s="29"/>
      <c r="AW833" s="29"/>
      <c r="AX833" s="29"/>
      <c r="AY833" s="29"/>
      <c r="AZ833" s="29"/>
      <c r="BA833" s="29"/>
      <c r="BB833" s="29"/>
      <c r="BC833" s="29"/>
      <c r="BD833" s="29"/>
      <c r="BE833" s="29"/>
      <c r="BF833" s="29"/>
      <c r="BG833" s="29"/>
      <c r="BH833" s="29"/>
    </row>
    <row r="834" spans="1:60" ht="14.25" customHeight="1" x14ac:dyDescent="0.3">
      <c r="A834" s="28"/>
      <c r="B834" s="29"/>
      <c r="C834" s="30"/>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c r="AJ834" s="29"/>
      <c r="AK834" s="29"/>
      <c r="AL834" s="29"/>
      <c r="AM834" s="29"/>
      <c r="AN834" s="29"/>
      <c r="AO834" s="29"/>
      <c r="AP834" s="29"/>
      <c r="AQ834" s="29"/>
      <c r="AR834" s="29"/>
      <c r="AS834" s="29"/>
      <c r="AT834" s="29"/>
      <c r="AU834" s="29"/>
      <c r="AV834" s="29"/>
      <c r="AW834" s="29"/>
      <c r="AX834" s="29"/>
      <c r="AY834" s="29"/>
      <c r="AZ834" s="29"/>
      <c r="BA834" s="29"/>
      <c r="BB834" s="29"/>
      <c r="BC834" s="29"/>
      <c r="BD834" s="29"/>
      <c r="BE834" s="29"/>
      <c r="BF834" s="29"/>
      <c r="BG834" s="29"/>
      <c r="BH834" s="29"/>
    </row>
    <row r="835" spans="1:60" ht="14.25" customHeight="1" x14ac:dyDescent="0.3">
      <c r="A835" s="28"/>
      <c r="B835" s="29"/>
      <c r="C835" s="30"/>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c r="AO835" s="29"/>
      <c r="AP835" s="29"/>
      <c r="AQ835" s="29"/>
      <c r="AR835" s="29"/>
      <c r="AS835" s="29"/>
      <c r="AT835" s="29"/>
      <c r="AU835" s="29"/>
      <c r="AV835" s="29"/>
      <c r="AW835" s="29"/>
      <c r="AX835" s="29"/>
      <c r="AY835" s="29"/>
      <c r="AZ835" s="29"/>
      <c r="BA835" s="29"/>
      <c r="BB835" s="29"/>
      <c r="BC835" s="29"/>
      <c r="BD835" s="29"/>
      <c r="BE835" s="29"/>
      <c r="BF835" s="29"/>
      <c r="BG835" s="29"/>
      <c r="BH835" s="29"/>
    </row>
    <row r="836" spans="1:60" ht="14.25" customHeight="1" x14ac:dyDescent="0.3">
      <c r="A836" s="28"/>
      <c r="B836" s="29"/>
      <c r="C836" s="30"/>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J836" s="29"/>
      <c r="AK836" s="29"/>
      <c r="AL836" s="29"/>
      <c r="AM836" s="29"/>
      <c r="AN836" s="29"/>
      <c r="AO836" s="29"/>
      <c r="AP836" s="29"/>
      <c r="AQ836" s="29"/>
      <c r="AR836" s="29"/>
      <c r="AS836" s="29"/>
      <c r="AT836" s="29"/>
      <c r="AU836" s="29"/>
      <c r="AV836" s="29"/>
      <c r="AW836" s="29"/>
      <c r="AX836" s="29"/>
      <c r="AY836" s="29"/>
      <c r="AZ836" s="29"/>
      <c r="BA836" s="29"/>
      <c r="BB836" s="29"/>
      <c r="BC836" s="29"/>
      <c r="BD836" s="29"/>
      <c r="BE836" s="29"/>
      <c r="BF836" s="29"/>
      <c r="BG836" s="29"/>
      <c r="BH836" s="29"/>
    </row>
    <row r="837" spans="1:60" ht="14.25" customHeight="1" x14ac:dyDescent="0.3">
      <c r="A837" s="28"/>
      <c r="B837" s="29"/>
      <c r="C837" s="30"/>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c r="AN837" s="29"/>
      <c r="AO837" s="29"/>
      <c r="AP837" s="29"/>
      <c r="AQ837" s="29"/>
      <c r="AR837" s="29"/>
      <c r="AS837" s="29"/>
      <c r="AT837" s="29"/>
      <c r="AU837" s="29"/>
      <c r="AV837" s="29"/>
      <c r="AW837" s="29"/>
      <c r="AX837" s="29"/>
      <c r="AY837" s="29"/>
      <c r="AZ837" s="29"/>
      <c r="BA837" s="29"/>
      <c r="BB837" s="29"/>
      <c r="BC837" s="29"/>
      <c r="BD837" s="29"/>
      <c r="BE837" s="29"/>
      <c r="BF837" s="29"/>
      <c r="BG837" s="29"/>
      <c r="BH837" s="29"/>
    </row>
    <row r="838" spans="1:60" ht="14.25" customHeight="1" x14ac:dyDescent="0.3">
      <c r="A838" s="28"/>
      <c r="B838" s="29"/>
      <c r="C838" s="30"/>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c r="AJ838" s="29"/>
      <c r="AK838" s="29"/>
      <c r="AL838" s="29"/>
      <c r="AM838" s="29"/>
      <c r="AN838" s="29"/>
      <c r="AO838" s="29"/>
      <c r="AP838" s="29"/>
      <c r="AQ838" s="29"/>
      <c r="AR838" s="29"/>
      <c r="AS838" s="29"/>
      <c r="AT838" s="29"/>
      <c r="AU838" s="29"/>
      <c r="AV838" s="29"/>
      <c r="AW838" s="29"/>
      <c r="AX838" s="29"/>
      <c r="AY838" s="29"/>
      <c r="AZ838" s="29"/>
      <c r="BA838" s="29"/>
      <c r="BB838" s="29"/>
      <c r="BC838" s="29"/>
      <c r="BD838" s="29"/>
      <c r="BE838" s="29"/>
      <c r="BF838" s="29"/>
      <c r="BG838" s="29"/>
      <c r="BH838" s="29"/>
    </row>
    <row r="839" spans="1:60" ht="14.25" customHeight="1" x14ac:dyDescent="0.3">
      <c r="A839" s="28"/>
      <c r="B839" s="29"/>
      <c r="C839" s="30"/>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c r="AK839" s="29"/>
      <c r="AL839" s="29"/>
      <c r="AM839" s="29"/>
      <c r="AN839" s="29"/>
      <c r="AO839" s="29"/>
      <c r="AP839" s="29"/>
      <c r="AQ839" s="29"/>
      <c r="AR839" s="29"/>
      <c r="AS839" s="29"/>
      <c r="AT839" s="29"/>
      <c r="AU839" s="29"/>
      <c r="AV839" s="29"/>
      <c r="AW839" s="29"/>
      <c r="AX839" s="29"/>
      <c r="AY839" s="29"/>
      <c r="AZ839" s="29"/>
      <c r="BA839" s="29"/>
      <c r="BB839" s="29"/>
      <c r="BC839" s="29"/>
      <c r="BD839" s="29"/>
      <c r="BE839" s="29"/>
      <c r="BF839" s="29"/>
      <c r="BG839" s="29"/>
      <c r="BH839" s="29"/>
    </row>
    <row r="840" spans="1:60" ht="14.25" customHeight="1" x14ac:dyDescent="0.3">
      <c r="A840" s="28"/>
      <c r="B840" s="29"/>
      <c r="C840" s="30"/>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c r="AF840" s="29"/>
      <c r="AG840" s="29"/>
      <c r="AH840" s="29"/>
      <c r="AI840" s="29"/>
      <c r="AJ840" s="29"/>
      <c r="AK840" s="29"/>
      <c r="AL840" s="29"/>
      <c r="AM840" s="29"/>
      <c r="AN840" s="29"/>
      <c r="AO840" s="29"/>
      <c r="AP840" s="29"/>
      <c r="AQ840" s="29"/>
      <c r="AR840" s="29"/>
      <c r="AS840" s="29"/>
      <c r="AT840" s="29"/>
      <c r="AU840" s="29"/>
      <c r="AV840" s="29"/>
      <c r="AW840" s="29"/>
      <c r="AX840" s="29"/>
      <c r="AY840" s="29"/>
      <c r="AZ840" s="29"/>
      <c r="BA840" s="29"/>
      <c r="BB840" s="29"/>
      <c r="BC840" s="29"/>
      <c r="BD840" s="29"/>
      <c r="BE840" s="29"/>
      <c r="BF840" s="29"/>
      <c r="BG840" s="29"/>
      <c r="BH840" s="29"/>
    </row>
    <row r="841" spans="1:60" ht="14.25" customHeight="1" x14ac:dyDescent="0.3">
      <c r="A841" s="28"/>
      <c r="B841" s="29"/>
      <c r="C841" s="30"/>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J841" s="29"/>
      <c r="AK841" s="29"/>
      <c r="AL841" s="29"/>
      <c r="AM841" s="29"/>
      <c r="AN841" s="29"/>
      <c r="AO841" s="29"/>
      <c r="AP841" s="29"/>
      <c r="AQ841" s="29"/>
      <c r="AR841" s="29"/>
      <c r="AS841" s="29"/>
      <c r="AT841" s="29"/>
      <c r="AU841" s="29"/>
      <c r="AV841" s="29"/>
      <c r="AW841" s="29"/>
      <c r="AX841" s="29"/>
      <c r="AY841" s="29"/>
      <c r="AZ841" s="29"/>
      <c r="BA841" s="29"/>
      <c r="BB841" s="29"/>
      <c r="BC841" s="29"/>
      <c r="BD841" s="29"/>
      <c r="BE841" s="29"/>
      <c r="BF841" s="29"/>
      <c r="BG841" s="29"/>
      <c r="BH841" s="29"/>
    </row>
    <row r="842" spans="1:60" ht="14.25" customHeight="1" x14ac:dyDescent="0.3">
      <c r="A842" s="28"/>
      <c r="B842" s="29"/>
      <c r="C842" s="30"/>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c r="AF842" s="29"/>
      <c r="AG842" s="29"/>
      <c r="AH842" s="29"/>
      <c r="AI842" s="29"/>
      <c r="AJ842" s="29"/>
      <c r="AK842" s="29"/>
      <c r="AL842" s="29"/>
      <c r="AM842" s="29"/>
      <c r="AN842" s="29"/>
      <c r="AO842" s="29"/>
      <c r="AP842" s="29"/>
      <c r="AQ842" s="29"/>
      <c r="AR842" s="29"/>
      <c r="AS842" s="29"/>
      <c r="AT842" s="29"/>
      <c r="AU842" s="29"/>
      <c r="AV842" s="29"/>
      <c r="AW842" s="29"/>
      <c r="AX842" s="29"/>
      <c r="AY842" s="29"/>
      <c r="AZ842" s="29"/>
      <c r="BA842" s="29"/>
      <c r="BB842" s="29"/>
      <c r="BC842" s="29"/>
      <c r="BD842" s="29"/>
      <c r="BE842" s="29"/>
      <c r="BF842" s="29"/>
      <c r="BG842" s="29"/>
      <c r="BH842" s="29"/>
    </row>
    <row r="843" spans="1:60" ht="14.25" customHeight="1" x14ac:dyDescent="0.3">
      <c r="A843" s="28"/>
      <c r="B843" s="29"/>
      <c r="C843" s="30"/>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J843" s="29"/>
      <c r="AK843" s="29"/>
      <c r="AL843" s="29"/>
      <c r="AM843" s="29"/>
      <c r="AN843" s="29"/>
      <c r="AO843" s="29"/>
      <c r="AP843" s="29"/>
      <c r="AQ843" s="29"/>
      <c r="AR843" s="29"/>
      <c r="AS843" s="29"/>
      <c r="AT843" s="29"/>
      <c r="AU843" s="29"/>
      <c r="AV843" s="29"/>
      <c r="AW843" s="29"/>
      <c r="AX843" s="29"/>
      <c r="AY843" s="29"/>
      <c r="AZ843" s="29"/>
      <c r="BA843" s="29"/>
      <c r="BB843" s="29"/>
      <c r="BC843" s="29"/>
      <c r="BD843" s="29"/>
      <c r="BE843" s="29"/>
      <c r="BF843" s="29"/>
      <c r="BG843" s="29"/>
      <c r="BH843" s="29"/>
    </row>
    <row r="844" spans="1:60" ht="14.25" customHeight="1" x14ac:dyDescent="0.3">
      <c r="A844" s="28"/>
      <c r="B844" s="29"/>
      <c r="C844" s="30"/>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c r="AG844" s="29"/>
      <c r="AH844" s="29"/>
      <c r="AI844" s="29"/>
      <c r="AJ844" s="29"/>
      <c r="AK844" s="29"/>
      <c r="AL844" s="29"/>
      <c r="AM844" s="29"/>
      <c r="AN844" s="29"/>
      <c r="AO844" s="29"/>
      <c r="AP844" s="29"/>
      <c r="AQ844" s="29"/>
      <c r="AR844" s="29"/>
      <c r="AS844" s="29"/>
      <c r="AT844" s="29"/>
      <c r="AU844" s="29"/>
      <c r="AV844" s="29"/>
      <c r="AW844" s="29"/>
      <c r="AX844" s="29"/>
      <c r="AY844" s="29"/>
      <c r="AZ844" s="29"/>
      <c r="BA844" s="29"/>
      <c r="BB844" s="29"/>
      <c r="BC844" s="29"/>
      <c r="BD844" s="29"/>
      <c r="BE844" s="29"/>
      <c r="BF844" s="29"/>
      <c r="BG844" s="29"/>
      <c r="BH844" s="29"/>
    </row>
    <row r="845" spans="1:60" ht="14.25" customHeight="1" x14ac:dyDescent="0.3">
      <c r="A845" s="28"/>
      <c r="B845" s="29"/>
      <c r="C845" s="30"/>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c r="AK845" s="29"/>
      <c r="AL845" s="29"/>
      <c r="AM845" s="29"/>
      <c r="AN845" s="29"/>
      <c r="AO845" s="29"/>
      <c r="AP845" s="29"/>
      <c r="AQ845" s="29"/>
      <c r="AR845" s="29"/>
      <c r="AS845" s="29"/>
      <c r="AT845" s="29"/>
      <c r="AU845" s="29"/>
      <c r="AV845" s="29"/>
      <c r="AW845" s="29"/>
      <c r="AX845" s="29"/>
      <c r="AY845" s="29"/>
      <c r="AZ845" s="29"/>
      <c r="BA845" s="29"/>
      <c r="BB845" s="29"/>
      <c r="BC845" s="29"/>
      <c r="BD845" s="29"/>
      <c r="BE845" s="29"/>
      <c r="BF845" s="29"/>
      <c r="BG845" s="29"/>
      <c r="BH845" s="29"/>
    </row>
    <row r="846" spans="1:60" ht="14.25" customHeight="1" x14ac:dyDescent="0.3">
      <c r="A846" s="28"/>
      <c r="B846" s="29"/>
      <c r="C846" s="30"/>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29"/>
      <c r="AI846" s="29"/>
      <c r="AJ846" s="29"/>
      <c r="AK846" s="29"/>
      <c r="AL846" s="29"/>
      <c r="AM846" s="29"/>
      <c r="AN846" s="29"/>
      <c r="AO846" s="29"/>
      <c r="AP846" s="29"/>
      <c r="AQ846" s="29"/>
      <c r="AR846" s="29"/>
      <c r="AS846" s="29"/>
      <c r="AT846" s="29"/>
      <c r="AU846" s="29"/>
      <c r="AV846" s="29"/>
      <c r="AW846" s="29"/>
      <c r="AX846" s="29"/>
      <c r="AY846" s="29"/>
      <c r="AZ846" s="29"/>
      <c r="BA846" s="29"/>
      <c r="BB846" s="29"/>
      <c r="BC846" s="29"/>
      <c r="BD846" s="29"/>
      <c r="BE846" s="29"/>
      <c r="BF846" s="29"/>
      <c r="BG846" s="29"/>
      <c r="BH846" s="29"/>
    </row>
    <row r="847" spans="1:60" ht="14.25" customHeight="1" x14ac:dyDescent="0.3">
      <c r="A847" s="28"/>
      <c r="B847" s="29"/>
      <c r="C847" s="30"/>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c r="AK847" s="29"/>
      <c r="AL847" s="29"/>
      <c r="AM847" s="29"/>
      <c r="AN847" s="29"/>
      <c r="AO847" s="29"/>
      <c r="AP847" s="29"/>
      <c r="AQ847" s="29"/>
      <c r="AR847" s="29"/>
      <c r="AS847" s="29"/>
      <c r="AT847" s="29"/>
      <c r="AU847" s="29"/>
      <c r="AV847" s="29"/>
      <c r="AW847" s="29"/>
      <c r="AX847" s="29"/>
      <c r="AY847" s="29"/>
      <c r="AZ847" s="29"/>
      <c r="BA847" s="29"/>
      <c r="BB847" s="29"/>
      <c r="BC847" s="29"/>
      <c r="BD847" s="29"/>
      <c r="BE847" s="29"/>
      <c r="BF847" s="29"/>
      <c r="BG847" s="29"/>
      <c r="BH847" s="29"/>
    </row>
    <row r="848" spans="1:60" ht="14.25" customHeight="1" x14ac:dyDescent="0.3">
      <c r="A848" s="28"/>
      <c r="B848" s="29"/>
      <c r="C848" s="30"/>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29"/>
      <c r="AI848" s="29"/>
      <c r="AJ848" s="29"/>
      <c r="AK848" s="29"/>
      <c r="AL848" s="29"/>
      <c r="AM848" s="29"/>
      <c r="AN848" s="29"/>
      <c r="AO848" s="29"/>
      <c r="AP848" s="29"/>
      <c r="AQ848" s="29"/>
      <c r="AR848" s="29"/>
      <c r="AS848" s="29"/>
      <c r="AT848" s="29"/>
      <c r="AU848" s="29"/>
      <c r="AV848" s="29"/>
      <c r="AW848" s="29"/>
      <c r="AX848" s="29"/>
      <c r="AY848" s="29"/>
      <c r="AZ848" s="29"/>
      <c r="BA848" s="29"/>
      <c r="BB848" s="29"/>
      <c r="BC848" s="29"/>
      <c r="BD848" s="29"/>
      <c r="BE848" s="29"/>
      <c r="BF848" s="29"/>
      <c r="BG848" s="29"/>
      <c r="BH848" s="29"/>
    </row>
    <row r="849" spans="1:60" ht="14.25" customHeight="1" x14ac:dyDescent="0.3">
      <c r="A849" s="28"/>
      <c r="B849" s="29"/>
      <c r="C849" s="30"/>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c r="AK849" s="29"/>
      <c r="AL849" s="29"/>
      <c r="AM849" s="29"/>
      <c r="AN849" s="29"/>
      <c r="AO849" s="29"/>
      <c r="AP849" s="29"/>
      <c r="AQ849" s="29"/>
      <c r="AR849" s="29"/>
      <c r="AS849" s="29"/>
      <c r="AT849" s="29"/>
      <c r="AU849" s="29"/>
      <c r="AV849" s="29"/>
      <c r="AW849" s="29"/>
      <c r="AX849" s="29"/>
      <c r="AY849" s="29"/>
      <c r="AZ849" s="29"/>
      <c r="BA849" s="29"/>
      <c r="BB849" s="29"/>
      <c r="BC849" s="29"/>
      <c r="BD849" s="29"/>
      <c r="BE849" s="29"/>
      <c r="BF849" s="29"/>
      <c r="BG849" s="29"/>
      <c r="BH849" s="29"/>
    </row>
    <row r="850" spans="1:60" ht="14.25" customHeight="1" x14ac:dyDescent="0.3">
      <c r="A850" s="28"/>
      <c r="B850" s="29"/>
      <c r="C850" s="30"/>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c r="AH850" s="29"/>
      <c r="AI850" s="29"/>
      <c r="AJ850" s="29"/>
      <c r="AK850" s="29"/>
      <c r="AL850" s="29"/>
      <c r="AM850" s="29"/>
      <c r="AN850" s="29"/>
      <c r="AO850" s="29"/>
      <c r="AP850" s="29"/>
      <c r="AQ850" s="29"/>
      <c r="AR850" s="29"/>
      <c r="AS850" s="29"/>
      <c r="AT850" s="29"/>
      <c r="AU850" s="29"/>
      <c r="AV850" s="29"/>
      <c r="AW850" s="29"/>
      <c r="AX850" s="29"/>
      <c r="AY850" s="29"/>
      <c r="AZ850" s="29"/>
      <c r="BA850" s="29"/>
      <c r="BB850" s="29"/>
      <c r="BC850" s="29"/>
      <c r="BD850" s="29"/>
      <c r="BE850" s="29"/>
      <c r="BF850" s="29"/>
      <c r="BG850" s="29"/>
      <c r="BH850" s="29"/>
    </row>
    <row r="851" spans="1:60" ht="14.25" customHeight="1" x14ac:dyDescent="0.3">
      <c r="A851" s="28"/>
      <c r="B851" s="29"/>
      <c r="C851" s="30"/>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c r="AK851" s="29"/>
      <c r="AL851" s="29"/>
      <c r="AM851" s="29"/>
      <c r="AN851" s="29"/>
      <c r="AO851" s="29"/>
      <c r="AP851" s="29"/>
      <c r="AQ851" s="29"/>
      <c r="AR851" s="29"/>
      <c r="AS851" s="29"/>
      <c r="AT851" s="29"/>
      <c r="AU851" s="29"/>
      <c r="AV851" s="29"/>
      <c r="AW851" s="29"/>
      <c r="AX851" s="29"/>
      <c r="AY851" s="29"/>
      <c r="AZ851" s="29"/>
      <c r="BA851" s="29"/>
      <c r="BB851" s="29"/>
      <c r="BC851" s="29"/>
      <c r="BD851" s="29"/>
      <c r="BE851" s="29"/>
      <c r="BF851" s="29"/>
      <c r="BG851" s="29"/>
      <c r="BH851" s="29"/>
    </row>
    <row r="852" spans="1:60" ht="14.25" customHeight="1" x14ac:dyDescent="0.3">
      <c r="A852" s="28"/>
      <c r="B852" s="29"/>
      <c r="C852" s="30"/>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c r="AH852" s="29"/>
      <c r="AI852" s="29"/>
      <c r="AJ852" s="29"/>
      <c r="AK852" s="29"/>
      <c r="AL852" s="29"/>
      <c r="AM852" s="29"/>
      <c r="AN852" s="29"/>
      <c r="AO852" s="29"/>
      <c r="AP852" s="29"/>
      <c r="AQ852" s="29"/>
      <c r="AR852" s="29"/>
      <c r="AS852" s="29"/>
      <c r="AT852" s="29"/>
      <c r="AU852" s="29"/>
      <c r="AV852" s="29"/>
      <c r="AW852" s="29"/>
      <c r="AX852" s="29"/>
      <c r="AY852" s="29"/>
      <c r="AZ852" s="29"/>
      <c r="BA852" s="29"/>
      <c r="BB852" s="29"/>
      <c r="BC852" s="29"/>
      <c r="BD852" s="29"/>
      <c r="BE852" s="29"/>
      <c r="BF852" s="29"/>
      <c r="BG852" s="29"/>
      <c r="BH852" s="29"/>
    </row>
    <row r="853" spans="1:60" ht="14.25" customHeight="1" x14ac:dyDescent="0.3">
      <c r="A853" s="28"/>
      <c r="B853" s="29"/>
      <c r="C853" s="30"/>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c r="AK853" s="29"/>
      <c r="AL853" s="29"/>
      <c r="AM853" s="29"/>
      <c r="AN853" s="29"/>
      <c r="AO853" s="29"/>
      <c r="AP853" s="29"/>
      <c r="AQ853" s="29"/>
      <c r="AR853" s="29"/>
      <c r="AS853" s="29"/>
      <c r="AT853" s="29"/>
      <c r="AU853" s="29"/>
      <c r="AV853" s="29"/>
      <c r="AW853" s="29"/>
      <c r="AX853" s="29"/>
      <c r="AY853" s="29"/>
      <c r="AZ853" s="29"/>
      <c r="BA853" s="29"/>
      <c r="BB853" s="29"/>
      <c r="BC853" s="29"/>
      <c r="BD853" s="29"/>
      <c r="BE853" s="29"/>
      <c r="BF853" s="29"/>
      <c r="BG853" s="29"/>
      <c r="BH853" s="29"/>
    </row>
    <row r="854" spans="1:60" ht="14.25" customHeight="1" x14ac:dyDescent="0.3">
      <c r="A854" s="28"/>
      <c r="B854" s="29"/>
      <c r="C854" s="30"/>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c r="AG854" s="29"/>
      <c r="AH854" s="29"/>
      <c r="AI854" s="29"/>
      <c r="AJ854" s="29"/>
      <c r="AK854" s="29"/>
      <c r="AL854" s="29"/>
      <c r="AM854" s="29"/>
      <c r="AN854" s="29"/>
      <c r="AO854" s="29"/>
      <c r="AP854" s="29"/>
      <c r="AQ854" s="29"/>
      <c r="AR854" s="29"/>
      <c r="AS854" s="29"/>
      <c r="AT854" s="29"/>
      <c r="AU854" s="29"/>
      <c r="AV854" s="29"/>
      <c r="AW854" s="29"/>
      <c r="AX854" s="29"/>
      <c r="AY854" s="29"/>
      <c r="AZ854" s="29"/>
      <c r="BA854" s="29"/>
      <c r="BB854" s="29"/>
      <c r="BC854" s="29"/>
      <c r="BD854" s="29"/>
      <c r="BE854" s="29"/>
      <c r="BF854" s="29"/>
      <c r="BG854" s="29"/>
      <c r="BH854" s="29"/>
    </row>
    <row r="855" spans="1:60" ht="14.25" customHeight="1" x14ac:dyDescent="0.3">
      <c r="A855" s="28"/>
      <c r="B855" s="29"/>
      <c r="C855" s="30"/>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J855" s="29"/>
      <c r="AK855" s="29"/>
      <c r="AL855" s="29"/>
      <c r="AM855" s="29"/>
      <c r="AN855" s="29"/>
      <c r="AO855" s="29"/>
      <c r="AP855" s="29"/>
      <c r="AQ855" s="29"/>
      <c r="AR855" s="29"/>
      <c r="AS855" s="29"/>
      <c r="AT855" s="29"/>
      <c r="AU855" s="29"/>
      <c r="AV855" s="29"/>
      <c r="AW855" s="29"/>
      <c r="AX855" s="29"/>
      <c r="AY855" s="29"/>
      <c r="AZ855" s="29"/>
      <c r="BA855" s="29"/>
      <c r="BB855" s="29"/>
      <c r="BC855" s="29"/>
      <c r="BD855" s="29"/>
      <c r="BE855" s="29"/>
      <c r="BF855" s="29"/>
      <c r="BG855" s="29"/>
      <c r="BH855" s="29"/>
    </row>
    <row r="856" spans="1:60" ht="14.25" customHeight="1" x14ac:dyDescent="0.3">
      <c r="A856" s="28"/>
      <c r="B856" s="29"/>
      <c r="C856" s="30"/>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c r="AG856" s="29"/>
      <c r="AH856" s="29"/>
      <c r="AI856" s="29"/>
      <c r="AJ856" s="29"/>
      <c r="AK856" s="29"/>
      <c r="AL856" s="29"/>
      <c r="AM856" s="29"/>
      <c r="AN856" s="29"/>
      <c r="AO856" s="29"/>
      <c r="AP856" s="29"/>
      <c r="AQ856" s="29"/>
      <c r="AR856" s="29"/>
      <c r="AS856" s="29"/>
      <c r="AT856" s="29"/>
      <c r="AU856" s="29"/>
      <c r="AV856" s="29"/>
      <c r="AW856" s="29"/>
      <c r="AX856" s="29"/>
      <c r="AY856" s="29"/>
      <c r="AZ856" s="29"/>
      <c r="BA856" s="29"/>
      <c r="BB856" s="29"/>
      <c r="BC856" s="29"/>
      <c r="BD856" s="29"/>
      <c r="BE856" s="29"/>
      <c r="BF856" s="29"/>
      <c r="BG856" s="29"/>
      <c r="BH856" s="29"/>
    </row>
    <row r="857" spans="1:60" ht="14.25" customHeight="1" x14ac:dyDescent="0.3">
      <c r="A857" s="28"/>
      <c r="B857" s="29"/>
      <c r="C857" s="30"/>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J857" s="29"/>
      <c r="AK857" s="29"/>
      <c r="AL857" s="29"/>
      <c r="AM857" s="29"/>
      <c r="AN857" s="29"/>
      <c r="AO857" s="29"/>
      <c r="AP857" s="29"/>
      <c r="AQ857" s="29"/>
      <c r="AR857" s="29"/>
      <c r="AS857" s="29"/>
      <c r="AT857" s="29"/>
      <c r="AU857" s="29"/>
      <c r="AV857" s="29"/>
      <c r="AW857" s="29"/>
      <c r="AX857" s="29"/>
      <c r="AY857" s="29"/>
      <c r="AZ857" s="29"/>
      <c r="BA857" s="29"/>
      <c r="BB857" s="29"/>
      <c r="BC857" s="29"/>
      <c r="BD857" s="29"/>
      <c r="BE857" s="29"/>
      <c r="BF857" s="29"/>
      <c r="BG857" s="29"/>
      <c r="BH857" s="29"/>
    </row>
    <row r="858" spans="1:60" ht="14.25" customHeight="1" x14ac:dyDescent="0.3">
      <c r="A858" s="28"/>
      <c r="B858" s="29"/>
      <c r="C858" s="30"/>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c r="AH858" s="29"/>
      <c r="AI858" s="29"/>
      <c r="AJ858" s="29"/>
      <c r="AK858" s="29"/>
      <c r="AL858" s="29"/>
      <c r="AM858" s="29"/>
      <c r="AN858" s="29"/>
      <c r="AO858" s="29"/>
      <c r="AP858" s="29"/>
      <c r="AQ858" s="29"/>
      <c r="AR858" s="29"/>
      <c r="AS858" s="29"/>
      <c r="AT858" s="29"/>
      <c r="AU858" s="29"/>
      <c r="AV858" s="29"/>
      <c r="AW858" s="29"/>
      <c r="AX858" s="29"/>
      <c r="AY858" s="29"/>
      <c r="AZ858" s="29"/>
      <c r="BA858" s="29"/>
      <c r="BB858" s="29"/>
      <c r="BC858" s="29"/>
      <c r="BD858" s="29"/>
      <c r="BE858" s="29"/>
      <c r="BF858" s="29"/>
      <c r="BG858" s="29"/>
      <c r="BH858" s="29"/>
    </row>
    <row r="859" spans="1:60" ht="14.25" customHeight="1" x14ac:dyDescent="0.3">
      <c r="A859" s="28"/>
      <c r="B859" s="29"/>
      <c r="C859" s="30"/>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J859" s="29"/>
      <c r="AK859" s="29"/>
      <c r="AL859" s="29"/>
      <c r="AM859" s="29"/>
      <c r="AN859" s="29"/>
      <c r="AO859" s="29"/>
      <c r="AP859" s="29"/>
      <c r="AQ859" s="29"/>
      <c r="AR859" s="29"/>
      <c r="AS859" s="29"/>
      <c r="AT859" s="29"/>
      <c r="AU859" s="29"/>
      <c r="AV859" s="29"/>
      <c r="AW859" s="29"/>
      <c r="AX859" s="29"/>
      <c r="AY859" s="29"/>
      <c r="AZ859" s="29"/>
      <c r="BA859" s="29"/>
      <c r="BB859" s="29"/>
      <c r="BC859" s="29"/>
      <c r="BD859" s="29"/>
      <c r="BE859" s="29"/>
      <c r="BF859" s="29"/>
      <c r="BG859" s="29"/>
      <c r="BH859" s="29"/>
    </row>
    <row r="860" spans="1:60" ht="14.25" customHeight="1" x14ac:dyDescent="0.3">
      <c r="A860" s="28"/>
      <c r="B860" s="29"/>
      <c r="C860" s="30"/>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c r="AG860" s="29"/>
      <c r="AH860" s="29"/>
      <c r="AI860" s="29"/>
      <c r="AJ860" s="29"/>
      <c r="AK860" s="29"/>
      <c r="AL860" s="29"/>
      <c r="AM860" s="29"/>
      <c r="AN860" s="29"/>
      <c r="AO860" s="29"/>
      <c r="AP860" s="29"/>
      <c r="AQ860" s="29"/>
      <c r="AR860" s="29"/>
      <c r="AS860" s="29"/>
      <c r="AT860" s="29"/>
      <c r="AU860" s="29"/>
      <c r="AV860" s="29"/>
      <c r="AW860" s="29"/>
      <c r="AX860" s="29"/>
      <c r="AY860" s="29"/>
      <c r="AZ860" s="29"/>
      <c r="BA860" s="29"/>
      <c r="BB860" s="29"/>
      <c r="BC860" s="29"/>
      <c r="BD860" s="29"/>
      <c r="BE860" s="29"/>
      <c r="BF860" s="29"/>
      <c r="BG860" s="29"/>
      <c r="BH860" s="29"/>
    </row>
    <row r="861" spans="1:60" ht="14.25" customHeight="1" x14ac:dyDescent="0.3">
      <c r="A861" s="28"/>
      <c r="B861" s="29"/>
      <c r="C861" s="30"/>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c r="AK861" s="29"/>
      <c r="AL861" s="29"/>
      <c r="AM861" s="29"/>
      <c r="AN861" s="29"/>
      <c r="AO861" s="29"/>
      <c r="AP861" s="29"/>
      <c r="AQ861" s="29"/>
      <c r="AR861" s="29"/>
      <c r="AS861" s="29"/>
      <c r="AT861" s="29"/>
      <c r="AU861" s="29"/>
      <c r="AV861" s="29"/>
      <c r="AW861" s="29"/>
      <c r="AX861" s="29"/>
      <c r="AY861" s="29"/>
      <c r="AZ861" s="29"/>
      <c r="BA861" s="29"/>
      <c r="BB861" s="29"/>
      <c r="BC861" s="29"/>
      <c r="BD861" s="29"/>
      <c r="BE861" s="29"/>
      <c r="BF861" s="29"/>
      <c r="BG861" s="29"/>
      <c r="BH861" s="29"/>
    </row>
    <row r="862" spans="1:60" ht="14.25" customHeight="1" x14ac:dyDescent="0.3">
      <c r="A862" s="28"/>
      <c r="B862" s="29"/>
      <c r="C862" s="30"/>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c r="AG862" s="29"/>
      <c r="AH862" s="29"/>
      <c r="AI862" s="29"/>
      <c r="AJ862" s="29"/>
      <c r="AK862" s="29"/>
      <c r="AL862" s="29"/>
      <c r="AM862" s="29"/>
      <c r="AN862" s="29"/>
      <c r="AO862" s="29"/>
      <c r="AP862" s="29"/>
      <c r="AQ862" s="29"/>
      <c r="AR862" s="29"/>
      <c r="AS862" s="29"/>
      <c r="AT862" s="29"/>
      <c r="AU862" s="29"/>
      <c r="AV862" s="29"/>
      <c r="AW862" s="29"/>
      <c r="AX862" s="29"/>
      <c r="AY862" s="29"/>
      <c r="AZ862" s="29"/>
      <c r="BA862" s="29"/>
      <c r="BB862" s="29"/>
      <c r="BC862" s="29"/>
      <c r="BD862" s="29"/>
      <c r="BE862" s="29"/>
      <c r="BF862" s="29"/>
      <c r="BG862" s="29"/>
      <c r="BH862" s="29"/>
    </row>
    <row r="863" spans="1:60" ht="14.25" customHeight="1" x14ac:dyDescent="0.3">
      <c r="A863" s="28"/>
      <c r="B863" s="29"/>
      <c r="C863" s="30"/>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c r="AK863" s="29"/>
      <c r="AL863" s="29"/>
      <c r="AM863" s="29"/>
      <c r="AN863" s="29"/>
      <c r="AO863" s="29"/>
      <c r="AP863" s="29"/>
      <c r="AQ863" s="29"/>
      <c r="AR863" s="29"/>
      <c r="AS863" s="29"/>
      <c r="AT863" s="29"/>
      <c r="AU863" s="29"/>
      <c r="AV863" s="29"/>
      <c r="AW863" s="29"/>
      <c r="AX863" s="29"/>
      <c r="AY863" s="29"/>
      <c r="AZ863" s="29"/>
      <c r="BA863" s="29"/>
      <c r="BB863" s="29"/>
      <c r="BC863" s="29"/>
      <c r="BD863" s="29"/>
      <c r="BE863" s="29"/>
      <c r="BF863" s="29"/>
      <c r="BG863" s="29"/>
      <c r="BH863" s="29"/>
    </row>
    <row r="864" spans="1:60" ht="14.25" customHeight="1" x14ac:dyDescent="0.3">
      <c r="A864" s="28"/>
      <c r="B864" s="29"/>
      <c r="C864" s="30"/>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29"/>
      <c r="AI864" s="29"/>
      <c r="AJ864" s="29"/>
      <c r="AK864" s="29"/>
      <c r="AL864" s="29"/>
      <c r="AM864" s="29"/>
      <c r="AN864" s="29"/>
      <c r="AO864" s="29"/>
      <c r="AP864" s="29"/>
      <c r="AQ864" s="29"/>
      <c r="AR864" s="29"/>
      <c r="AS864" s="29"/>
      <c r="AT864" s="29"/>
      <c r="AU864" s="29"/>
      <c r="AV864" s="29"/>
      <c r="AW864" s="29"/>
      <c r="AX864" s="29"/>
      <c r="AY864" s="29"/>
      <c r="AZ864" s="29"/>
      <c r="BA864" s="29"/>
      <c r="BB864" s="29"/>
      <c r="BC864" s="29"/>
      <c r="BD864" s="29"/>
      <c r="BE864" s="29"/>
      <c r="BF864" s="29"/>
      <c r="BG864" s="29"/>
      <c r="BH864" s="29"/>
    </row>
    <row r="865" spans="1:60" ht="14.25" customHeight="1" x14ac:dyDescent="0.3">
      <c r="A865" s="28"/>
      <c r="B865" s="29"/>
      <c r="C865" s="30"/>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c r="AK865" s="29"/>
      <c r="AL865" s="29"/>
      <c r="AM865" s="29"/>
      <c r="AN865" s="29"/>
      <c r="AO865" s="29"/>
      <c r="AP865" s="29"/>
      <c r="AQ865" s="29"/>
      <c r="AR865" s="29"/>
      <c r="AS865" s="29"/>
      <c r="AT865" s="29"/>
      <c r="AU865" s="29"/>
      <c r="AV865" s="29"/>
      <c r="AW865" s="29"/>
      <c r="AX865" s="29"/>
      <c r="AY865" s="29"/>
      <c r="AZ865" s="29"/>
      <c r="BA865" s="29"/>
      <c r="BB865" s="29"/>
      <c r="BC865" s="29"/>
      <c r="BD865" s="29"/>
      <c r="BE865" s="29"/>
      <c r="BF865" s="29"/>
      <c r="BG865" s="29"/>
      <c r="BH865" s="29"/>
    </row>
    <row r="866" spans="1:60" ht="14.25" customHeight="1" x14ac:dyDescent="0.3">
      <c r="A866" s="28"/>
      <c r="B866" s="29"/>
      <c r="C866" s="30"/>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29"/>
      <c r="AI866" s="29"/>
      <c r="AJ866" s="29"/>
      <c r="AK866" s="29"/>
      <c r="AL866" s="29"/>
      <c r="AM866" s="29"/>
      <c r="AN866" s="29"/>
      <c r="AO866" s="29"/>
      <c r="AP866" s="29"/>
      <c r="AQ866" s="29"/>
      <c r="AR866" s="29"/>
      <c r="AS866" s="29"/>
      <c r="AT866" s="29"/>
      <c r="AU866" s="29"/>
      <c r="AV866" s="29"/>
      <c r="AW866" s="29"/>
      <c r="AX866" s="29"/>
      <c r="AY866" s="29"/>
      <c r="AZ866" s="29"/>
      <c r="BA866" s="29"/>
      <c r="BB866" s="29"/>
      <c r="BC866" s="29"/>
      <c r="BD866" s="29"/>
      <c r="BE866" s="29"/>
      <c r="BF866" s="29"/>
      <c r="BG866" s="29"/>
      <c r="BH866" s="29"/>
    </row>
    <row r="867" spans="1:60" ht="14.25" customHeight="1" x14ac:dyDescent="0.3">
      <c r="A867" s="28"/>
      <c r="B867" s="29"/>
      <c r="C867" s="30"/>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c r="AK867" s="29"/>
      <c r="AL867" s="29"/>
      <c r="AM867" s="29"/>
      <c r="AN867" s="29"/>
      <c r="AO867" s="29"/>
      <c r="AP867" s="29"/>
      <c r="AQ867" s="29"/>
      <c r="AR867" s="29"/>
      <c r="AS867" s="29"/>
      <c r="AT867" s="29"/>
      <c r="AU867" s="29"/>
      <c r="AV867" s="29"/>
      <c r="AW867" s="29"/>
      <c r="AX867" s="29"/>
      <c r="AY867" s="29"/>
      <c r="AZ867" s="29"/>
      <c r="BA867" s="29"/>
      <c r="BB867" s="29"/>
      <c r="BC867" s="29"/>
      <c r="BD867" s="29"/>
      <c r="BE867" s="29"/>
      <c r="BF867" s="29"/>
      <c r="BG867" s="29"/>
      <c r="BH867" s="29"/>
    </row>
    <row r="868" spans="1:60" ht="14.25" customHeight="1" x14ac:dyDescent="0.3">
      <c r="A868" s="28"/>
      <c r="B868" s="29"/>
      <c r="C868" s="30"/>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c r="AJ868" s="29"/>
      <c r="AK868" s="29"/>
      <c r="AL868" s="29"/>
      <c r="AM868" s="29"/>
      <c r="AN868" s="29"/>
      <c r="AO868" s="29"/>
      <c r="AP868" s="29"/>
      <c r="AQ868" s="29"/>
      <c r="AR868" s="29"/>
      <c r="AS868" s="29"/>
      <c r="AT868" s="29"/>
      <c r="AU868" s="29"/>
      <c r="AV868" s="29"/>
      <c r="AW868" s="29"/>
      <c r="AX868" s="29"/>
      <c r="AY868" s="29"/>
      <c r="AZ868" s="29"/>
      <c r="BA868" s="29"/>
      <c r="BB868" s="29"/>
      <c r="BC868" s="29"/>
      <c r="BD868" s="29"/>
      <c r="BE868" s="29"/>
      <c r="BF868" s="29"/>
      <c r="BG868" s="29"/>
      <c r="BH868" s="29"/>
    </row>
    <row r="869" spans="1:60" ht="14.25" customHeight="1" x14ac:dyDescent="0.3">
      <c r="A869" s="28"/>
      <c r="B869" s="29"/>
      <c r="C869" s="30"/>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c r="AN869" s="29"/>
      <c r="AO869" s="29"/>
      <c r="AP869" s="29"/>
      <c r="AQ869" s="29"/>
      <c r="AR869" s="29"/>
      <c r="AS869" s="29"/>
      <c r="AT869" s="29"/>
      <c r="AU869" s="29"/>
      <c r="AV869" s="29"/>
      <c r="AW869" s="29"/>
      <c r="AX869" s="29"/>
      <c r="AY869" s="29"/>
      <c r="AZ869" s="29"/>
      <c r="BA869" s="29"/>
      <c r="BB869" s="29"/>
      <c r="BC869" s="29"/>
      <c r="BD869" s="29"/>
      <c r="BE869" s="29"/>
      <c r="BF869" s="29"/>
      <c r="BG869" s="29"/>
      <c r="BH869" s="29"/>
    </row>
    <row r="870" spans="1:60" ht="14.25" customHeight="1" x14ac:dyDescent="0.3">
      <c r="A870" s="28"/>
      <c r="B870" s="29"/>
      <c r="C870" s="30"/>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29"/>
      <c r="AI870" s="29"/>
      <c r="AJ870" s="29"/>
      <c r="AK870" s="29"/>
      <c r="AL870" s="29"/>
      <c r="AM870" s="29"/>
      <c r="AN870" s="29"/>
      <c r="AO870" s="29"/>
      <c r="AP870" s="29"/>
      <c r="AQ870" s="29"/>
      <c r="AR870" s="29"/>
      <c r="AS870" s="29"/>
      <c r="AT870" s="29"/>
      <c r="AU870" s="29"/>
      <c r="AV870" s="29"/>
      <c r="AW870" s="29"/>
      <c r="AX870" s="29"/>
      <c r="AY870" s="29"/>
      <c r="AZ870" s="29"/>
      <c r="BA870" s="29"/>
      <c r="BB870" s="29"/>
      <c r="BC870" s="29"/>
      <c r="BD870" s="29"/>
      <c r="BE870" s="29"/>
      <c r="BF870" s="29"/>
      <c r="BG870" s="29"/>
      <c r="BH870" s="29"/>
    </row>
    <row r="871" spans="1:60" ht="14.25" customHeight="1" x14ac:dyDescent="0.3">
      <c r="A871" s="28"/>
      <c r="B871" s="29"/>
      <c r="C871" s="30"/>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c r="AK871" s="29"/>
      <c r="AL871" s="29"/>
      <c r="AM871" s="29"/>
      <c r="AN871" s="29"/>
      <c r="AO871" s="29"/>
      <c r="AP871" s="29"/>
      <c r="AQ871" s="29"/>
      <c r="AR871" s="29"/>
      <c r="AS871" s="29"/>
      <c r="AT871" s="29"/>
      <c r="AU871" s="29"/>
      <c r="AV871" s="29"/>
      <c r="AW871" s="29"/>
      <c r="AX871" s="29"/>
      <c r="AY871" s="29"/>
      <c r="AZ871" s="29"/>
      <c r="BA871" s="29"/>
      <c r="BB871" s="29"/>
      <c r="BC871" s="29"/>
      <c r="BD871" s="29"/>
      <c r="BE871" s="29"/>
      <c r="BF871" s="29"/>
      <c r="BG871" s="29"/>
      <c r="BH871" s="29"/>
    </row>
    <row r="872" spans="1:60" ht="14.25" customHeight="1" x14ac:dyDescent="0.3">
      <c r="A872" s="28"/>
      <c r="B872" s="29"/>
      <c r="C872" s="30"/>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29"/>
      <c r="AI872" s="29"/>
      <c r="AJ872" s="29"/>
      <c r="AK872" s="29"/>
      <c r="AL872" s="29"/>
      <c r="AM872" s="29"/>
      <c r="AN872" s="29"/>
      <c r="AO872" s="29"/>
      <c r="AP872" s="29"/>
      <c r="AQ872" s="29"/>
      <c r="AR872" s="29"/>
      <c r="AS872" s="29"/>
      <c r="AT872" s="29"/>
      <c r="AU872" s="29"/>
      <c r="AV872" s="29"/>
      <c r="AW872" s="29"/>
      <c r="AX872" s="29"/>
      <c r="AY872" s="29"/>
      <c r="AZ872" s="29"/>
      <c r="BA872" s="29"/>
      <c r="BB872" s="29"/>
      <c r="BC872" s="29"/>
      <c r="BD872" s="29"/>
      <c r="BE872" s="29"/>
      <c r="BF872" s="29"/>
      <c r="BG872" s="29"/>
      <c r="BH872" s="29"/>
    </row>
    <row r="873" spans="1:60" ht="14.25" customHeight="1" x14ac:dyDescent="0.3">
      <c r="A873" s="28"/>
      <c r="B873" s="29"/>
      <c r="C873" s="30"/>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c r="AK873" s="29"/>
      <c r="AL873" s="29"/>
      <c r="AM873" s="29"/>
      <c r="AN873" s="29"/>
      <c r="AO873" s="29"/>
      <c r="AP873" s="29"/>
      <c r="AQ873" s="29"/>
      <c r="AR873" s="29"/>
      <c r="AS873" s="29"/>
      <c r="AT873" s="29"/>
      <c r="AU873" s="29"/>
      <c r="AV873" s="29"/>
      <c r="AW873" s="29"/>
      <c r="AX873" s="29"/>
      <c r="AY873" s="29"/>
      <c r="AZ873" s="29"/>
      <c r="BA873" s="29"/>
      <c r="BB873" s="29"/>
      <c r="BC873" s="29"/>
      <c r="BD873" s="29"/>
      <c r="BE873" s="29"/>
      <c r="BF873" s="29"/>
      <c r="BG873" s="29"/>
      <c r="BH873" s="29"/>
    </row>
    <row r="874" spans="1:60" ht="14.25" customHeight="1" x14ac:dyDescent="0.3">
      <c r="A874" s="28"/>
      <c r="B874" s="29"/>
      <c r="C874" s="30"/>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29"/>
      <c r="AI874" s="29"/>
      <c r="AJ874" s="29"/>
      <c r="AK874" s="29"/>
      <c r="AL874" s="29"/>
      <c r="AM874" s="29"/>
      <c r="AN874" s="29"/>
      <c r="AO874" s="29"/>
      <c r="AP874" s="29"/>
      <c r="AQ874" s="29"/>
      <c r="AR874" s="29"/>
      <c r="AS874" s="29"/>
      <c r="AT874" s="29"/>
      <c r="AU874" s="29"/>
      <c r="AV874" s="29"/>
      <c r="AW874" s="29"/>
      <c r="AX874" s="29"/>
      <c r="AY874" s="29"/>
      <c r="AZ874" s="29"/>
      <c r="BA874" s="29"/>
      <c r="BB874" s="29"/>
      <c r="BC874" s="29"/>
      <c r="BD874" s="29"/>
      <c r="BE874" s="29"/>
      <c r="BF874" s="29"/>
      <c r="BG874" s="29"/>
      <c r="BH874" s="29"/>
    </row>
    <row r="875" spans="1:60" ht="14.25" customHeight="1" x14ac:dyDescent="0.3">
      <c r="A875" s="28"/>
      <c r="B875" s="29"/>
      <c r="C875" s="30"/>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c r="AK875" s="29"/>
      <c r="AL875" s="29"/>
      <c r="AM875" s="29"/>
      <c r="AN875" s="29"/>
      <c r="AO875" s="29"/>
      <c r="AP875" s="29"/>
      <c r="AQ875" s="29"/>
      <c r="AR875" s="29"/>
      <c r="AS875" s="29"/>
      <c r="AT875" s="29"/>
      <c r="AU875" s="29"/>
      <c r="AV875" s="29"/>
      <c r="AW875" s="29"/>
      <c r="AX875" s="29"/>
      <c r="AY875" s="29"/>
      <c r="AZ875" s="29"/>
      <c r="BA875" s="29"/>
      <c r="BB875" s="29"/>
      <c r="BC875" s="29"/>
      <c r="BD875" s="29"/>
      <c r="BE875" s="29"/>
      <c r="BF875" s="29"/>
      <c r="BG875" s="29"/>
      <c r="BH875" s="29"/>
    </row>
    <row r="876" spans="1:60" ht="14.25" customHeight="1" x14ac:dyDescent="0.3">
      <c r="A876" s="28"/>
      <c r="B876" s="29"/>
      <c r="C876" s="30"/>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29"/>
      <c r="AI876" s="29"/>
      <c r="AJ876" s="29"/>
      <c r="AK876" s="29"/>
      <c r="AL876" s="29"/>
      <c r="AM876" s="29"/>
      <c r="AN876" s="29"/>
      <c r="AO876" s="29"/>
      <c r="AP876" s="29"/>
      <c r="AQ876" s="29"/>
      <c r="AR876" s="29"/>
      <c r="AS876" s="29"/>
      <c r="AT876" s="29"/>
      <c r="AU876" s="29"/>
      <c r="AV876" s="29"/>
      <c r="AW876" s="29"/>
      <c r="AX876" s="29"/>
      <c r="AY876" s="29"/>
      <c r="AZ876" s="29"/>
      <c r="BA876" s="29"/>
      <c r="BB876" s="29"/>
      <c r="BC876" s="29"/>
      <c r="BD876" s="29"/>
      <c r="BE876" s="29"/>
      <c r="BF876" s="29"/>
      <c r="BG876" s="29"/>
      <c r="BH876" s="29"/>
    </row>
    <row r="877" spans="1:60" ht="14.25" customHeight="1" x14ac:dyDescent="0.3">
      <c r="A877" s="28"/>
      <c r="B877" s="29"/>
      <c r="C877" s="30"/>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J877" s="29"/>
      <c r="AK877" s="29"/>
      <c r="AL877" s="29"/>
      <c r="AM877" s="29"/>
      <c r="AN877" s="29"/>
      <c r="AO877" s="29"/>
      <c r="AP877" s="29"/>
      <c r="AQ877" s="29"/>
      <c r="AR877" s="29"/>
      <c r="AS877" s="29"/>
      <c r="AT877" s="29"/>
      <c r="AU877" s="29"/>
      <c r="AV877" s="29"/>
      <c r="AW877" s="29"/>
      <c r="AX877" s="29"/>
      <c r="AY877" s="29"/>
      <c r="AZ877" s="29"/>
      <c r="BA877" s="29"/>
      <c r="BB877" s="29"/>
      <c r="BC877" s="29"/>
      <c r="BD877" s="29"/>
      <c r="BE877" s="29"/>
      <c r="BF877" s="29"/>
      <c r="BG877" s="29"/>
      <c r="BH877" s="29"/>
    </row>
    <row r="878" spans="1:60" ht="14.25" customHeight="1" x14ac:dyDescent="0.3">
      <c r="A878" s="28"/>
      <c r="B878" s="29"/>
      <c r="C878" s="30"/>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29"/>
      <c r="AI878" s="29"/>
      <c r="AJ878" s="29"/>
      <c r="AK878" s="29"/>
      <c r="AL878" s="29"/>
      <c r="AM878" s="29"/>
      <c r="AN878" s="29"/>
      <c r="AO878" s="29"/>
      <c r="AP878" s="29"/>
      <c r="AQ878" s="29"/>
      <c r="AR878" s="29"/>
      <c r="AS878" s="29"/>
      <c r="AT878" s="29"/>
      <c r="AU878" s="29"/>
      <c r="AV878" s="29"/>
      <c r="AW878" s="29"/>
      <c r="AX878" s="29"/>
      <c r="AY878" s="29"/>
      <c r="AZ878" s="29"/>
      <c r="BA878" s="29"/>
      <c r="BB878" s="29"/>
      <c r="BC878" s="29"/>
      <c r="BD878" s="29"/>
      <c r="BE878" s="29"/>
      <c r="BF878" s="29"/>
      <c r="BG878" s="29"/>
      <c r="BH878" s="29"/>
    </row>
    <row r="879" spans="1:60" ht="14.25" customHeight="1" x14ac:dyDescent="0.3">
      <c r="A879" s="28"/>
      <c r="B879" s="29"/>
      <c r="C879" s="30"/>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c r="AK879" s="29"/>
      <c r="AL879" s="29"/>
      <c r="AM879" s="29"/>
      <c r="AN879" s="29"/>
      <c r="AO879" s="29"/>
      <c r="AP879" s="29"/>
      <c r="AQ879" s="29"/>
      <c r="AR879" s="29"/>
      <c r="AS879" s="29"/>
      <c r="AT879" s="29"/>
      <c r="AU879" s="29"/>
      <c r="AV879" s="29"/>
      <c r="AW879" s="29"/>
      <c r="AX879" s="29"/>
      <c r="AY879" s="29"/>
      <c r="AZ879" s="29"/>
      <c r="BA879" s="29"/>
      <c r="BB879" s="29"/>
      <c r="BC879" s="29"/>
      <c r="BD879" s="29"/>
      <c r="BE879" s="29"/>
      <c r="BF879" s="29"/>
      <c r="BG879" s="29"/>
      <c r="BH879" s="29"/>
    </row>
    <row r="880" spans="1:60" ht="14.25" customHeight="1" x14ac:dyDescent="0.3">
      <c r="A880" s="28"/>
      <c r="B880" s="29"/>
      <c r="C880" s="30"/>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29"/>
      <c r="AI880" s="29"/>
      <c r="AJ880" s="29"/>
      <c r="AK880" s="29"/>
      <c r="AL880" s="29"/>
      <c r="AM880" s="29"/>
      <c r="AN880" s="29"/>
      <c r="AO880" s="29"/>
      <c r="AP880" s="29"/>
      <c r="AQ880" s="29"/>
      <c r="AR880" s="29"/>
      <c r="AS880" s="29"/>
      <c r="AT880" s="29"/>
      <c r="AU880" s="29"/>
      <c r="AV880" s="29"/>
      <c r="AW880" s="29"/>
      <c r="AX880" s="29"/>
      <c r="AY880" s="29"/>
      <c r="AZ880" s="29"/>
      <c r="BA880" s="29"/>
      <c r="BB880" s="29"/>
      <c r="BC880" s="29"/>
      <c r="BD880" s="29"/>
      <c r="BE880" s="29"/>
      <c r="BF880" s="29"/>
      <c r="BG880" s="29"/>
      <c r="BH880" s="29"/>
    </row>
    <row r="881" spans="1:60" ht="14.25" customHeight="1" x14ac:dyDescent="0.3">
      <c r="A881" s="28"/>
      <c r="B881" s="29"/>
      <c r="C881" s="30"/>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c r="AK881" s="29"/>
      <c r="AL881" s="29"/>
      <c r="AM881" s="29"/>
      <c r="AN881" s="29"/>
      <c r="AO881" s="29"/>
      <c r="AP881" s="29"/>
      <c r="AQ881" s="29"/>
      <c r="AR881" s="29"/>
      <c r="AS881" s="29"/>
      <c r="AT881" s="29"/>
      <c r="AU881" s="29"/>
      <c r="AV881" s="29"/>
      <c r="AW881" s="29"/>
      <c r="AX881" s="29"/>
      <c r="AY881" s="29"/>
      <c r="AZ881" s="29"/>
      <c r="BA881" s="29"/>
      <c r="BB881" s="29"/>
      <c r="BC881" s="29"/>
      <c r="BD881" s="29"/>
      <c r="BE881" s="29"/>
      <c r="BF881" s="29"/>
      <c r="BG881" s="29"/>
      <c r="BH881" s="29"/>
    </row>
    <row r="882" spans="1:60" ht="14.25" customHeight="1" x14ac:dyDescent="0.3">
      <c r="A882" s="28"/>
      <c r="B882" s="29"/>
      <c r="C882" s="30"/>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J882" s="29"/>
      <c r="AK882" s="29"/>
      <c r="AL882" s="29"/>
      <c r="AM882" s="29"/>
      <c r="AN882" s="29"/>
      <c r="AO882" s="29"/>
      <c r="AP882" s="29"/>
      <c r="AQ882" s="29"/>
      <c r="AR882" s="29"/>
      <c r="AS882" s="29"/>
      <c r="AT882" s="29"/>
      <c r="AU882" s="29"/>
      <c r="AV882" s="29"/>
      <c r="AW882" s="29"/>
      <c r="AX882" s="29"/>
      <c r="AY882" s="29"/>
      <c r="AZ882" s="29"/>
      <c r="BA882" s="29"/>
      <c r="BB882" s="29"/>
      <c r="BC882" s="29"/>
      <c r="BD882" s="29"/>
      <c r="BE882" s="29"/>
      <c r="BF882" s="29"/>
      <c r="BG882" s="29"/>
      <c r="BH882" s="29"/>
    </row>
    <row r="883" spans="1:60" ht="14.25" customHeight="1" x14ac:dyDescent="0.3">
      <c r="A883" s="28"/>
      <c r="B883" s="29"/>
      <c r="C883" s="30"/>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c r="AN883" s="29"/>
      <c r="AO883" s="29"/>
      <c r="AP883" s="29"/>
      <c r="AQ883" s="29"/>
      <c r="AR883" s="29"/>
      <c r="AS883" s="29"/>
      <c r="AT883" s="29"/>
      <c r="AU883" s="29"/>
      <c r="AV883" s="29"/>
      <c r="AW883" s="29"/>
      <c r="AX883" s="29"/>
      <c r="AY883" s="29"/>
      <c r="AZ883" s="29"/>
      <c r="BA883" s="29"/>
      <c r="BB883" s="29"/>
      <c r="BC883" s="29"/>
      <c r="BD883" s="29"/>
      <c r="BE883" s="29"/>
      <c r="BF883" s="29"/>
      <c r="BG883" s="29"/>
      <c r="BH883" s="29"/>
    </row>
    <row r="884" spans="1:60" ht="14.25" customHeight="1" x14ac:dyDescent="0.3">
      <c r="A884" s="28"/>
      <c r="B884" s="29"/>
      <c r="C884" s="30"/>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c r="AJ884" s="29"/>
      <c r="AK884" s="29"/>
      <c r="AL884" s="29"/>
      <c r="AM884" s="29"/>
      <c r="AN884" s="29"/>
      <c r="AO884" s="29"/>
      <c r="AP884" s="29"/>
      <c r="AQ884" s="29"/>
      <c r="AR884" s="29"/>
      <c r="AS884" s="29"/>
      <c r="AT884" s="29"/>
      <c r="AU884" s="29"/>
      <c r="AV884" s="29"/>
      <c r="AW884" s="29"/>
      <c r="AX884" s="29"/>
      <c r="AY884" s="29"/>
      <c r="AZ884" s="29"/>
      <c r="BA884" s="29"/>
      <c r="BB884" s="29"/>
      <c r="BC884" s="29"/>
      <c r="BD884" s="29"/>
      <c r="BE884" s="29"/>
      <c r="BF884" s="29"/>
      <c r="BG884" s="29"/>
      <c r="BH884" s="29"/>
    </row>
    <row r="885" spans="1:60" ht="14.25" customHeight="1" x14ac:dyDescent="0.3">
      <c r="A885" s="28"/>
      <c r="B885" s="29"/>
      <c r="C885" s="30"/>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c r="AN885" s="29"/>
      <c r="AO885" s="29"/>
      <c r="AP885" s="29"/>
      <c r="AQ885" s="29"/>
      <c r="AR885" s="29"/>
      <c r="AS885" s="29"/>
      <c r="AT885" s="29"/>
      <c r="AU885" s="29"/>
      <c r="AV885" s="29"/>
      <c r="AW885" s="29"/>
      <c r="AX885" s="29"/>
      <c r="AY885" s="29"/>
      <c r="AZ885" s="29"/>
      <c r="BA885" s="29"/>
      <c r="BB885" s="29"/>
      <c r="BC885" s="29"/>
      <c r="BD885" s="29"/>
      <c r="BE885" s="29"/>
      <c r="BF885" s="29"/>
      <c r="BG885" s="29"/>
      <c r="BH885" s="29"/>
    </row>
    <row r="886" spans="1:60" ht="14.25" customHeight="1" x14ac:dyDescent="0.3">
      <c r="A886" s="28"/>
      <c r="B886" s="29"/>
      <c r="C886" s="30"/>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29"/>
      <c r="AI886" s="29"/>
      <c r="AJ886" s="29"/>
      <c r="AK886" s="29"/>
      <c r="AL886" s="29"/>
      <c r="AM886" s="29"/>
      <c r="AN886" s="29"/>
      <c r="AO886" s="29"/>
      <c r="AP886" s="29"/>
      <c r="AQ886" s="29"/>
      <c r="AR886" s="29"/>
      <c r="AS886" s="29"/>
      <c r="AT886" s="29"/>
      <c r="AU886" s="29"/>
      <c r="AV886" s="29"/>
      <c r="AW886" s="29"/>
      <c r="AX886" s="29"/>
      <c r="AY886" s="29"/>
      <c r="AZ886" s="29"/>
      <c r="BA886" s="29"/>
      <c r="BB886" s="29"/>
      <c r="BC886" s="29"/>
      <c r="BD886" s="29"/>
      <c r="BE886" s="29"/>
      <c r="BF886" s="29"/>
      <c r="BG886" s="29"/>
      <c r="BH886" s="29"/>
    </row>
    <row r="887" spans="1:60" ht="14.25" customHeight="1" x14ac:dyDescent="0.3">
      <c r="A887" s="28"/>
      <c r="B887" s="29"/>
      <c r="C887" s="30"/>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c r="AJ887" s="29"/>
      <c r="AK887" s="29"/>
      <c r="AL887" s="29"/>
      <c r="AM887" s="29"/>
      <c r="AN887" s="29"/>
      <c r="AO887" s="29"/>
      <c r="AP887" s="29"/>
      <c r="AQ887" s="29"/>
      <c r="AR887" s="29"/>
      <c r="AS887" s="29"/>
      <c r="AT887" s="29"/>
      <c r="AU887" s="29"/>
      <c r="AV887" s="29"/>
      <c r="AW887" s="29"/>
      <c r="AX887" s="29"/>
      <c r="AY887" s="29"/>
      <c r="AZ887" s="29"/>
      <c r="BA887" s="29"/>
      <c r="BB887" s="29"/>
      <c r="BC887" s="29"/>
      <c r="BD887" s="29"/>
      <c r="BE887" s="29"/>
      <c r="BF887" s="29"/>
      <c r="BG887" s="29"/>
      <c r="BH887" s="29"/>
    </row>
    <row r="888" spans="1:60" ht="14.25" customHeight="1" x14ac:dyDescent="0.3">
      <c r="A888" s="28"/>
      <c r="B888" s="29"/>
      <c r="C888" s="30"/>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c r="AJ888" s="29"/>
      <c r="AK888" s="29"/>
      <c r="AL888" s="29"/>
      <c r="AM888" s="29"/>
      <c r="AN888" s="29"/>
      <c r="AO888" s="29"/>
      <c r="AP888" s="29"/>
      <c r="AQ888" s="29"/>
      <c r="AR888" s="29"/>
      <c r="AS888" s="29"/>
      <c r="AT888" s="29"/>
      <c r="AU888" s="29"/>
      <c r="AV888" s="29"/>
      <c r="AW888" s="29"/>
      <c r="AX888" s="29"/>
      <c r="AY888" s="29"/>
      <c r="AZ888" s="29"/>
      <c r="BA888" s="29"/>
      <c r="BB888" s="29"/>
      <c r="BC888" s="29"/>
      <c r="BD888" s="29"/>
      <c r="BE888" s="29"/>
      <c r="BF888" s="29"/>
      <c r="BG888" s="29"/>
      <c r="BH888" s="29"/>
    </row>
    <row r="889" spans="1:60" ht="14.25" customHeight="1" x14ac:dyDescent="0.3">
      <c r="A889" s="28"/>
      <c r="B889" s="29"/>
      <c r="C889" s="30"/>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J889" s="29"/>
      <c r="AK889" s="29"/>
      <c r="AL889" s="29"/>
      <c r="AM889" s="29"/>
      <c r="AN889" s="29"/>
      <c r="AO889" s="29"/>
      <c r="AP889" s="29"/>
      <c r="AQ889" s="29"/>
      <c r="AR889" s="29"/>
      <c r="AS889" s="29"/>
      <c r="AT889" s="29"/>
      <c r="AU889" s="29"/>
      <c r="AV889" s="29"/>
      <c r="AW889" s="29"/>
      <c r="AX889" s="29"/>
      <c r="AY889" s="29"/>
      <c r="AZ889" s="29"/>
      <c r="BA889" s="29"/>
      <c r="BB889" s="29"/>
      <c r="BC889" s="29"/>
      <c r="BD889" s="29"/>
      <c r="BE889" s="29"/>
      <c r="BF889" s="29"/>
      <c r="BG889" s="29"/>
      <c r="BH889" s="29"/>
    </row>
    <row r="890" spans="1:60" ht="14.25" customHeight="1" x14ac:dyDescent="0.3">
      <c r="A890" s="28"/>
      <c r="B890" s="29"/>
      <c r="C890" s="30"/>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c r="AH890" s="29"/>
      <c r="AI890" s="29"/>
      <c r="AJ890" s="29"/>
      <c r="AK890" s="29"/>
      <c r="AL890" s="29"/>
      <c r="AM890" s="29"/>
      <c r="AN890" s="29"/>
      <c r="AO890" s="29"/>
      <c r="AP890" s="29"/>
      <c r="AQ890" s="29"/>
      <c r="AR890" s="29"/>
      <c r="AS890" s="29"/>
      <c r="AT890" s="29"/>
      <c r="AU890" s="29"/>
      <c r="AV890" s="29"/>
      <c r="AW890" s="29"/>
      <c r="AX890" s="29"/>
      <c r="AY890" s="29"/>
      <c r="AZ890" s="29"/>
      <c r="BA890" s="29"/>
      <c r="BB890" s="29"/>
      <c r="BC890" s="29"/>
      <c r="BD890" s="29"/>
      <c r="BE890" s="29"/>
      <c r="BF890" s="29"/>
      <c r="BG890" s="29"/>
      <c r="BH890" s="29"/>
    </row>
    <row r="891" spans="1:60" ht="14.25" customHeight="1" x14ac:dyDescent="0.3">
      <c r="A891" s="28"/>
      <c r="B891" s="29"/>
      <c r="C891" s="30"/>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c r="AJ891" s="29"/>
      <c r="AK891" s="29"/>
      <c r="AL891" s="29"/>
      <c r="AM891" s="29"/>
      <c r="AN891" s="29"/>
      <c r="AO891" s="29"/>
      <c r="AP891" s="29"/>
      <c r="AQ891" s="29"/>
      <c r="AR891" s="29"/>
      <c r="AS891" s="29"/>
      <c r="AT891" s="29"/>
      <c r="AU891" s="29"/>
      <c r="AV891" s="29"/>
      <c r="AW891" s="29"/>
      <c r="AX891" s="29"/>
      <c r="AY891" s="29"/>
      <c r="AZ891" s="29"/>
      <c r="BA891" s="29"/>
      <c r="BB891" s="29"/>
      <c r="BC891" s="29"/>
      <c r="BD891" s="29"/>
      <c r="BE891" s="29"/>
      <c r="BF891" s="29"/>
      <c r="BG891" s="29"/>
      <c r="BH891" s="29"/>
    </row>
    <row r="892" spans="1:60" ht="14.25" customHeight="1" x14ac:dyDescent="0.3">
      <c r="A892" s="28"/>
      <c r="B892" s="29"/>
      <c r="C892" s="30"/>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c r="AH892" s="29"/>
      <c r="AI892" s="29"/>
      <c r="AJ892" s="29"/>
      <c r="AK892" s="29"/>
      <c r="AL892" s="29"/>
      <c r="AM892" s="29"/>
      <c r="AN892" s="29"/>
      <c r="AO892" s="29"/>
      <c r="AP892" s="29"/>
      <c r="AQ892" s="29"/>
      <c r="AR892" s="29"/>
      <c r="AS892" s="29"/>
      <c r="AT892" s="29"/>
      <c r="AU892" s="29"/>
      <c r="AV892" s="29"/>
      <c r="AW892" s="29"/>
      <c r="AX892" s="29"/>
      <c r="AY892" s="29"/>
      <c r="AZ892" s="29"/>
      <c r="BA892" s="29"/>
      <c r="BB892" s="29"/>
      <c r="BC892" s="29"/>
      <c r="BD892" s="29"/>
      <c r="BE892" s="29"/>
      <c r="BF892" s="29"/>
      <c r="BG892" s="29"/>
      <c r="BH892" s="29"/>
    </row>
    <row r="893" spans="1:60" ht="14.25" customHeight="1" x14ac:dyDescent="0.3">
      <c r="A893" s="28"/>
      <c r="B893" s="29"/>
      <c r="C893" s="30"/>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c r="AJ893" s="29"/>
      <c r="AK893" s="29"/>
      <c r="AL893" s="29"/>
      <c r="AM893" s="29"/>
      <c r="AN893" s="29"/>
      <c r="AO893" s="29"/>
      <c r="AP893" s="29"/>
      <c r="AQ893" s="29"/>
      <c r="AR893" s="29"/>
      <c r="AS893" s="29"/>
      <c r="AT893" s="29"/>
      <c r="AU893" s="29"/>
      <c r="AV893" s="29"/>
      <c r="AW893" s="29"/>
      <c r="AX893" s="29"/>
      <c r="AY893" s="29"/>
      <c r="AZ893" s="29"/>
      <c r="BA893" s="29"/>
      <c r="BB893" s="29"/>
      <c r="BC893" s="29"/>
      <c r="BD893" s="29"/>
      <c r="BE893" s="29"/>
      <c r="BF893" s="29"/>
      <c r="BG893" s="29"/>
      <c r="BH893" s="29"/>
    </row>
    <row r="894" spans="1:60" ht="14.25" customHeight="1" x14ac:dyDescent="0.3">
      <c r="A894" s="28"/>
      <c r="B894" s="29"/>
      <c r="C894" s="30"/>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c r="AH894" s="29"/>
      <c r="AI894" s="29"/>
      <c r="AJ894" s="29"/>
      <c r="AK894" s="29"/>
      <c r="AL894" s="29"/>
      <c r="AM894" s="29"/>
      <c r="AN894" s="29"/>
      <c r="AO894" s="29"/>
      <c r="AP894" s="29"/>
      <c r="AQ894" s="29"/>
      <c r="AR894" s="29"/>
      <c r="AS894" s="29"/>
      <c r="AT894" s="29"/>
      <c r="AU894" s="29"/>
      <c r="AV894" s="29"/>
      <c r="AW894" s="29"/>
      <c r="AX894" s="29"/>
      <c r="AY894" s="29"/>
      <c r="AZ894" s="29"/>
      <c r="BA894" s="29"/>
      <c r="BB894" s="29"/>
      <c r="BC894" s="29"/>
      <c r="BD894" s="29"/>
      <c r="BE894" s="29"/>
      <c r="BF894" s="29"/>
      <c r="BG894" s="29"/>
      <c r="BH894" s="29"/>
    </row>
    <row r="895" spans="1:60" ht="14.25" customHeight="1" x14ac:dyDescent="0.3">
      <c r="A895" s="28"/>
      <c r="B895" s="29"/>
      <c r="C895" s="30"/>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c r="AJ895" s="29"/>
      <c r="AK895" s="29"/>
      <c r="AL895" s="29"/>
      <c r="AM895" s="29"/>
      <c r="AN895" s="29"/>
      <c r="AO895" s="29"/>
      <c r="AP895" s="29"/>
      <c r="AQ895" s="29"/>
      <c r="AR895" s="29"/>
      <c r="AS895" s="29"/>
      <c r="AT895" s="29"/>
      <c r="AU895" s="29"/>
      <c r="AV895" s="29"/>
      <c r="AW895" s="29"/>
      <c r="AX895" s="29"/>
      <c r="AY895" s="29"/>
      <c r="AZ895" s="29"/>
      <c r="BA895" s="29"/>
      <c r="BB895" s="29"/>
      <c r="BC895" s="29"/>
      <c r="BD895" s="29"/>
      <c r="BE895" s="29"/>
      <c r="BF895" s="29"/>
      <c r="BG895" s="29"/>
      <c r="BH895" s="29"/>
    </row>
    <row r="896" spans="1:60" ht="14.25" customHeight="1" x14ac:dyDescent="0.3">
      <c r="A896" s="28"/>
      <c r="B896" s="29"/>
      <c r="C896" s="30"/>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c r="AG896" s="29"/>
      <c r="AH896" s="29"/>
      <c r="AI896" s="29"/>
      <c r="AJ896" s="29"/>
      <c r="AK896" s="29"/>
      <c r="AL896" s="29"/>
      <c r="AM896" s="29"/>
      <c r="AN896" s="29"/>
      <c r="AO896" s="29"/>
      <c r="AP896" s="29"/>
      <c r="AQ896" s="29"/>
      <c r="AR896" s="29"/>
      <c r="AS896" s="29"/>
      <c r="AT896" s="29"/>
      <c r="AU896" s="29"/>
      <c r="AV896" s="29"/>
      <c r="AW896" s="29"/>
      <c r="AX896" s="29"/>
      <c r="AY896" s="29"/>
      <c r="AZ896" s="29"/>
      <c r="BA896" s="29"/>
      <c r="BB896" s="29"/>
      <c r="BC896" s="29"/>
      <c r="BD896" s="29"/>
      <c r="BE896" s="29"/>
      <c r="BF896" s="29"/>
      <c r="BG896" s="29"/>
      <c r="BH896" s="29"/>
    </row>
    <row r="897" spans="1:60" ht="14.25" customHeight="1" x14ac:dyDescent="0.3">
      <c r="A897" s="28"/>
      <c r="B897" s="29"/>
      <c r="C897" s="30"/>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c r="AJ897" s="29"/>
      <c r="AK897" s="29"/>
      <c r="AL897" s="29"/>
      <c r="AM897" s="29"/>
      <c r="AN897" s="29"/>
      <c r="AO897" s="29"/>
      <c r="AP897" s="29"/>
      <c r="AQ897" s="29"/>
      <c r="AR897" s="29"/>
      <c r="AS897" s="29"/>
      <c r="AT897" s="29"/>
      <c r="AU897" s="29"/>
      <c r="AV897" s="29"/>
      <c r="AW897" s="29"/>
      <c r="AX897" s="29"/>
      <c r="AY897" s="29"/>
      <c r="AZ897" s="29"/>
      <c r="BA897" s="29"/>
      <c r="BB897" s="29"/>
      <c r="BC897" s="29"/>
      <c r="BD897" s="29"/>
      <c r="BE897" s="29"/>
      <c r="BF897" s="29"/>
      <c r="BG897" s="29"/>
      <c r="BH897" s="29"/>
    </row>
    <row r="898" spans="1:60" ht="14.25" customHeight="1" x14ac:dyDescent="0.3">
      <c r="A898" s="28"/>
      <c r="B898" s="29"/>
      <c r="C898" s="30"/>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c r="AG898" s="29"/>
      <c r="AH898" s="29"/>
      <c r="AI898" s="29"/>
      <c r="AJ898" s="29"/>
      <c r="AK898" s="29"/>
      <c r="AL898" s="29"/>
      <c r="AM898" s="29"/>
      <c r="AN898" s="29"/>
      <c r="AO898" s="29"/>
      <c r="AP898" s="29"/>
      <c r="AQ898" s="29"/>
      <c r="AR898" s="29"/>
      <c r="AS898" s="29"/>
      <c r="AT898" s="29"/>
      <c r="AU898" s="29"/>
      <c r="AV898" s="29"/>
      <c r="AW898" s="29"/>
      <c r="AX898" s="29"/>
      <c r="AY898" s="29"/>
      <c r="AZ898" s="29"/>
      <c r="BA898" s="29"/>
      <c r="BB898" s="29"/>
      <c r="BC898" s="29"/>
      <c r="BD898" s="29"/>
      <c r="BE898" s="29"/>
      <c r="BF898" s="29"/>
      <c r="BG898" s="29"/>
      <c r="BH898" s="29"/>
    </row>
    <row r="899" spans="1:60" ht="14.25" customHeight="1" x14ac:dyDescent="0.3">
      <c r="A899" s="28"/>
      <c r="B899" s="29"/>
      <c r="C899" s="30"/>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c r="AJ899" s="29"/>
      <c r="AK899" s="29"/>
      <c r="AL899" s="29"/>
      <c r="AM899" s="29"/>
      <c r="AN899" s="29"/>
      <c r="AO899" s="29"/>
      <c r="AP899" s="29"/>
      <c r="AQ899" s="29"/>
      <c r="AR899" s="29"/>
      <c r="AS899" s="29"/>
      <c r="AT899" s="29"/>
      <c r="AU899" s="29"/>
      <c r="AV899" s="29"/>
      <c r="AW899" s="29"/>
      <c r="AX899" s="29"/>
      <c r="AY899" s="29"/>
      <c r="AZ899" s="29"/>
      <c r="BA899" s="29"/>
      <c r="BB899" s="29"/>
      <c r="BC899" s="29"/>
      <c r="BD899" s="29"/>
      <c r="BE899" s="29"/>
      <c r="BF899" s="29"/>
      <c r="BG899" s="29"/>
      <c r="BH899" s="29"/>
    </row>
    <row r="900" spans="1:60" ht="14.25" customHeight="1" x14ac:dyDescent="0.3">
      <c r="A900" s="28"/>
      <c r="B900" s="29"/>
      <c r="C900" s="30"/>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c r="AG900" s="29"/>
      <c r="AH900" s="29"/>
      <c r="AI900" s="29"/>
      <c r="AJ900" s="29"/>
      <c r="AK900" s="29"/>
      <c r="AL900" s="29"/>
      <c r="AM900" s="29"/>
      <c r="AN900" s="29"/>
      <c r="AO900" s="29"/>
      <c r="AP900" s="29"/>
      <c r="AQ900" s="29"/>
      <c r="AR900" s="29"/>
      <c r="AS900" s="29"/>
      <c r="AT900" s="29"/>
      <c r="AU900" s="29"/>
      <c r="AV900" s="29"/>
      <c r="AW900" s="29"/>
      <c r="AX900" s="29"/>
      <c r="AY900" s="29"/>
      <c r="AZ900" s="29"/>
      <c r="BA900" s="29"/>
      <c r="BB900" s="29"/>
      <c r="BC900" s="29"/>
      <c r="BD900" s="29"/>
      <c r="BE900" s="29"/>
      <c r="BF900" s="29"/>
      <c r="BG900" s="29"/>
      <c r="BH900" s="29"/>
    </row>
    <row r="901" spans="1:60" ht="14.25" customHeight="1" x14ac:dyDescent="0.3">
      <c r="A901" s="28"/>
      <c r="B901" s="29"/>
      <c r="C901" s="30"/>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c r="AJ901" s="29"/>
      <c r="AK901" s="29"/>
      <c r="AL901" s="29"/>
      <c r="AM901" s="29"/>
      <c r="AN901" s="29"/>
      <c r="AO901" s="29"/>
      <c r="AP901" s="29"/>
      <c r="AQ901" s="29"/>
      <c r="AR901" s="29"/>
      <c r="AS901" s="29"/>
      <c r="AT901" s="29"/>
      <c r="AU901" s="29"/>
      <c r="AV901" s="29"/>
      <c r="AW901" s="29"/>
      <c r="AX901" s="29"/>
      <c r="AY901" s="29"/>
      <c r="AZ901" s="29"/>
      <c r="BA901" s="29"/>
      <c r="BB901" s="29"/>
      <c r="BC901" s="29"/>
      <c r="BD901" s="29"/>
      <c r="BE901" s="29"/>
      <c r="BF901" s="29"/>
      <c r="BG901" s="29"/>
      <c r="BH901" s="29"/>
    </row>
    <row r="902" spans="1:60" ht="14.25" customHeight="1" x14ac:dyDescent="0.3">
      <c r="A902" s="28"/>
      <c r="B902" s="29"/>
      <c r="C902" s="30"/>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c r="AG902" s="29"/>
      <c r="AH902" s="29"/>
      <c r="AI902" s="29"/>
      <c r="AJ902" s="29"/>
      <c r="AK902" s="29"/>
      <c r="AL902" s="29"/>
      <c r="AM902" s="29"/>
      <c r="AN902" s="29"/>
      <c r="AO902" s="29"/>
      <c r="AP902" s="29"/>
      <c r="AQ902" s="29"/>
      <c r="AR902" s="29"/>
      <c r="AS902" s="29"/>
      <c r="AT902" s="29"/>
      <c r="AU902" s="29"/>
      <c r="AV902" s="29"/>
      <c r="AW902" s="29"/>
      <c r="AX902" s="29"/>
      <c r="AY902" s="29"/>
      <c r="AZ902" s="29"/>
      <c r="BA902" s="29"/>
      <c r="BB902" s="29"/>
      <c r="BC902" s="29"/>
      <c r="BD902" s="29"/>
      <c r="BE902" s="29"/>
      <c r="BF902" s="29"/>
      <c r="BG902" s="29"/>
      <c r="BH902" s="29"/>
    </row>
    <row r="903" spans="1:60" ht="14.25" customHeight="1" x14ac:dyDescent="0.3">
      <c r="A903" s="28"/>
      <c r="B903" s="29"/>
      <c r="C903" s="30"/>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c r="AJ903" s="29"/>
      <c r="AK903" s="29"/>
      <c r="AL903" s="29"/>
      <c r="AM903" s="29"/>
      <c r="AN903" s="29"/>
      <c r="AO903" s="29"/>
      <c r="AP903" s="29"/>
      <c r="AQ903" s="29"/>
      <c r="AR903" s="29"/>
      <c r="AS903" s="29"/>
      <c r="AT903" s="29"/>
      <c r="AU903" s="29"/>
      <c r="AV903" s="29"/>
      <c r="AW903" s="29"/>
      <c r="AX903" s="29"/>
      <c r="AY903" s="29"/>
      <c r="AZ903" s="29"/>
      <c r="BA903" s="29"/>
      <c r="BB903" s="29"/>
      <c r="BC903" s="29"/>
      <c r="BD903" s="29"/>
      <c r="BE903" s="29"/>
      <c r="BF903" s="29"/>
      <c r="BG903" s="29"/>
      <c r="BH903" s="29"/>
    </row>
    <row r="904" spans="1:60" ht="14.25" customHeight="1" x14ac:dyDescent="0.3">
      <c r="A904" s="28"/>
      <c r="B904" s="29"/>
      <c r="C904" s="30"/>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c r="AG904" s="29"/>
      <c r="AH904" s="29"/>
      <c r="AI904" s="29"/>
      <c r="AJ904" s="29"/>
      <c r="AK904" s="29"/>
      <c r="AL904" s="29"/>
      <c r="AM904" s="29"/>
      <c r="AN904" s="29"/>
      <c r="AO904" s="29"/>
      <c r="AP904" s="29"/>
      <c r="AQ904" s="29"/>
      <c r="AR904" s="29"/>
      <c r="AS904" s="29"/>
      <c r="AT904" s="29"/>
      <c r="AU904" s="29"/>
      <c r="AV904" s="29"/>
      <c r="AW904" s="29"/>
      <c r="AX904" s="29"/>
      <c r="AY904" s="29"/>
      <c r="AZ904" s="29"/>
      <c r="BA904" s="29"/>
      <c r="BB904" s="29"/>
      <c r="BC904" s="29"/>
      <c r="BD904" s="29"/>
      <c r="BE904" s="29"/>
      <c r="BF904" s="29"/>
      <c r="BG904" s="29"/>
      <c r="BH904" s="29"/>
    </row>
    <row r="905" spans="1:60" ht="14.25" customHeight="1" x14ac:dyDescent="0.3">
      <c r="A905" s="28"/>
      <c r="B905" s="29"/>
      <c r="C905" s="30"/>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c r="AJ905" s="29"/>
      <c r="AK905" s="29"/>
      <c r="AL905" s="29"/>
      <c r="AM905" s="29"/>
      <c r="AN905" s="29"/>
      <c r="AO905" s="29"/>
      <c r="AP905" s="29"/>
      <c r="AQ905" s="29"/>
      <c r="AR905" s="29"/>
      <c r="AS905" s="29"/>
      <c r="AT905" s="29"/>
      <c r="AU905" s="29"/>
      <c r="AV905" s="29"/>
      <c r="AW905" s="29"/>
      <c r="AX905" s="29"/>
      <c r="AY905" s="29"/>
      <c r="AZ905" s="29"/>
      <c r="BA905" s="29"/>
      <c r="BB905" s="29"/>
      <c r="BC905" s="29"/>
      <c r="BD905" s="29"/>
      <c r="BE905" s="29"/>
      <c r="BF905" s="29"/>
      <c r="BG905" s="29"/>
      <c r="BH905" s="29"/>
    </row>
    <row r="906" spans="1:60" ht="14.25" customHeight="1" x14ac:dyDescent="0.3">
      <c r="A906" s="28"/>
      <c r="B906" s="29"/>
      <c r="C906" s="30"/>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c r="AH906" s="29"/>
      <c r="AI906" s="29"/>
      <c r="AJ906" s="29"/>
      <c r="AK906" s="29"/>
      <c r="AL906" s="29"/>
      <c r="AM906" s="29"/>
      <c r="AN906" s="29"/>
      <c r="AO906" s="29"/>
      <c r="AP906" s="29"/>
      <c r="AQ906" s="29"/>
      <c r="AR906" s="29"/>
      <c r="AS906" s="29"/>
      <c r="AT906" s="29"/>
      <c r="AU906" s="29"/>
      <c r="AV906" s="29"/>
      <c r="AW906" s="29"/>
      <c r="AX906" s="29"/>
      <c r="AY906" s="29"/>
      <c r="AZ906" s="29"/>
      <c r="BA906" s="29"/>
      <c r="BB906" s="29"/>
      <c r="BC906" s="29"/>
      <c r="BD906" s="29"/>
      <c r="BE906" s="29"/>
      <c r="BF906" s="29"/>
      <c r="BG906" s="29"/>
      <c r="BH906" s="29"/>
    </row>
    <row r="907" spans="1:60" ht="14.25" customHeight="1" x14ac:dyDescent="0.3">
      <c r="A907" s="28"/>
      <c r="B907" s="29"/>
      <c r="C907" s="30"/>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c r="AJ907" s="29"/>
      <c r="AK907" s="29"/>
      <c r="AL907" s="29"/>
      <c r="AM907" s="29"/>
      <c r="AN907" s="29"/>
      <c r="AO907" s="29"/>
      <c r="AP907" s="29"/>
      <c r="AQ907" s="29"/>
      <c r="AR907" s="29"/>
      <c r="AS907" s="29"/>
      <c r="AT907" s="29"/>
      <c r="AU907" s="29"/>
      <c r="AV907" s="29"/>
      <c r="AW907" s="29"/>
      <c r="AX907" s="29"/>
      <c r="AY907" s="29"/>
      <c r="AZ907" s="29"/>
      <c r="BA907" s="29"/>
      <c r="BB907" s="29"/>
      <c r="BC907" s="29"/>
      <c r="BD907" s="29"/>
      <c r="BE907" s="29"/>
      <c r="BF907" s="29"/>
      <c r="BG907" s="29"/>
      <c r="BH907" s="29"/>
    </row>
    <row r="908" spans="1:60" ht="14.25" customHeight="1" x14ac:dyDescent="0.3">
      <c r="A908" s="28"/>
      <c r="B908" s="29"/>
      <c r="C908" s="30"/>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c r="AG908" s="29"/>
      <c r="AH908" s="29"/>
      <c r="AI908" s="29"/>
      <c r="AJ908" s="29"/>
      <c r="AK908" s="29"/>
      <c r="AL908" s="29"/>
      <c r="AM908" s="29"/>
      <c r="AN908" s="29"/>
      <c r="AO908" s="29"/>
      <c r="AP908" s="29"/>
      <c r="AQ908" s="29"/>
      <c r="AR908" s="29"/>
      <c r="AS908" s="29"/>
      <c r="AT908" s="29"/>
      <c r="AU908" s="29"/>
      <c r="AV908" s="29"/>
      <c r="AW908" s="29"/>
      <c r="AX908" s="29"/>
      <c r="AY908" s="29"/>
      <c r="AZ908" s="29"/>
      <c r="BA908" s="29"/>
      <c r="BB908" s="29"/>
      <c r="BC908" s="29"/>
      <c r="BD908" s="29"/>
      <c r="BE908" s="29"/>
      <c r="BF908" s="29"/>
      <c r="BG908" s="29"/>
      <c r="BH908" s="29"/>
    </row>
    <row r="909" spans="1:60" ht="14.25" customHeight="1" x14ac:dyDescent="0.3">
      <c r="A909" s="28"/>
      <c r="B909" s="29"/>
      <c r="C909" s="30"/>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c r="AJ909" s="29"/>
      <c r="AK909" s="29"/>
      <c r="AL909" s="29"/>
      <c r="AM909" s="29"/>
      <c r="AN909" s="29"/>
      <c r="AO909" s="29"/>
      <c r="AP909" s="29"/>
      <c r="AQ909" s="29"/>
      <c r="AR909" s="29"/>
      <c r="AS909" s="29"/>
      <c r="AT909" s="29"/>
      <c r="AU909" s="29"/>
      <c r="AV909" s="29"/>
      <c r="AW909" s="29"/>
      <c r="AX909" s="29"/>
      <c r="AY909" s="29"/>
      <c r="AZ909" s="29"/>
      <c r="BA909" s="29"/>
      <c r="BB909" s="29"/>
      <c r="BC909" s="29"/>
      <c r="BD909" s="29"/>
      <c r="BE909" s="29"/>
      <c r="BF909" s="29"/>
      <c r="BG909" s="29"/>
      <c r="BH909" s="29"/>
    </row>
    <row r="910" spans="1:60" ht="14.25" customHeight="1" x14ac:dyDescent="0.3">
      <c r="A910" s="28"/>
      <c r="B910" s="29"/>
      <c r="C910" s="30"/>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c r="AH910" s="29"/>
      <c r="AI910" s="29"/>
      <c r="AJ910" s="29"/>
      <c r="AK910" s="29"/>
      <c r="AL910" s="29"/>
      <c r="AM910" s="29"/>
      <c r="AN910" s="29"/>
      <c r="AO910" s="29"/>
      <c r="AP910" s="29"/>
      <c r="AQ910" s="29"/>
      <c r="AR910" s="29"/>
      <c r="AS910" s="29"/>
      <c r="AT910" s="29"/>
      <c r="AU910" s="29"/>
      <c r="AV910" s="29"/>
      <c r="AW910" s="29"/>
      <c r="AX910" s="29"/>
      <c r="AY910" s="29"/>
      <c r="AZ910" s="29"/>
      <c r="BA910" s="29"/>
      <c r="BB910" s="29"/>
      <c r="BC910" s="29"/>
      <c r="BD910" s="29"/>
      <c r="BE910" s="29"/>
      <c r="BF910" s="29"/>
      <c r="BG910" s="29"/>
      <c r="BH910" s="29"/>
    </row>
    <row r="911" spans="1:60" ht="14.25" customHeight="1" x14ac:dyDescent="0.3">
      <c r="A911" s="28"/>
      <c r="B911" s="29"/>
      <c r="C911" s="30"/>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J911" s="29"/>
      <c r="AK911" s="29"/>
      <c r="AL911" s="29"/>
      <c r="AM911" s="29"/>
      <c r="AN911" s="29"/>
      <c r="AO911" s="29"/>
      <c r="AP911" s="29"/>
      <c r="AQ911" s="29"/>
      <c r="AR911" s="29"/>
      <c r="AS911" s="29"/>
      <c r="AT911" s="29"/>
      <c r="AU911" s="29"/>
      <c r="AV911" s="29"/>
      <c r="AW911" s="29"/>
      <c r="AX911" s="29"/>
      <c r="AY911" s="29"/>
      <c r="AZ911" s="29"/>
      <c r="BA911" s="29"/>
      <c r="BB911" s="29"/>
      <c r="BC911" s="29"/>
      <c r="BD911" s="29"/>
      <c r="BE911" s="29"/>
      <c r="BF911" s="29"/>
      <c r="BG911" s="29"/>
      <c r="BH911" s="29"/>
    </row>
    <row r="912" spans="1:60" ht="14.25" customHeight="1" x14ac:dyDescent="0.3">
      <c r="A912" s="28"/>
      <c r="B912" s="29"/>
      <c r="C912" s="30"/>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c r="AH912" s="29"/>
      <c r="AI912" s="29"/>
      <c r="AJ912" s="29"/>
      <c r="AK912" s="29"/>
      <c r="AL912" s="29"/>
      <c r="AM912" s="29"/>
      <c r="AN912" s="29"/>
      <c r="AO912" s="29"/>
      <c r="AP912" s="29"/>
      <c r="AQ912" s="29"/>
      <c r="AR912" s="29"/>
      <c r="AS912" s="29"/>
      <c r="AT912" s="29"/>
      <c r="AU912" s="29"/>
      <c r="AV912" s="29"/>
      <c r="AW912" s="29"/>
      <c r="AX912" s="29"/>
      <c r="AY912" s="29"/>
      <c r="AZ912" s="29"/>
      <c r="BA912" s="29"/>
      <c r="BB912" s="29"/>
      <c r="BC912" s="29"/>
      <c r="BD912" s="29"/>
      <c r="BE912" s="29"/>
      <c r="BF912" s="29"/>
      <c r="BG912" s="29"/>
      <c r="BH912" s="29"/>
    </row>
    <row r="913" spans="1:60" ht="14.25" customHeight="1" x14ac:dyDescent="0.3">
      <c r="A913" s="28"/>
      <c r="B913" s="29"/>
      <c r="C913" s="30"/>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J913" s="29"/>
      <c r="AK913" s="29"/>
      <c r="AL913" s="29"/>
      <c r="AM913" s="29"/>
      <c r="AN913" s="29"/>
      <c r="AO913" s="29"/>
      <c r="AP913" s="29"/>
      <c r="AQ913" s="29"/>
      <c r="AR913" s="29"/>
      <c r="AS913" s="29"/>
      <c r="AT913" s="29"/>
      <c r="AU913" s="29"/>
      <c r="AV913" s="29"/>
      <c r="AW913" s="29"/>
      <c r="AX913" s="29"/>
      <c r="AY913" s="29"/>
      <c r="AZ913" s="29"/>
      <c r="BA913" s="29"/>
      <c r="BB913" s="29"/>
      <c r="BC913" s="29"/>
      <c r="BD913" s="29"/>
      <c r="BE913" s="29"/>
      <c r="BF913" s="29"/>
      <c r="BG913" s="29"/>
      <c r="BH913" s="29"/>
    </row>
    <row r="914" spans="1:60" ht="14.25" customHeight="1" x14ac:dyDescent="0.3">
      <c r="A914" s="28"/>
      <c r="B914" s="29"/>
      <c r="C914" s="30"/>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29"/>
      <c r="AI914" s="29"/>
      <c r="AJ914" s="29"/>
      <c r="AK914" s="29"/>
      <c r="AL914" s="29"/>
      <c r="AM914" s="29"/>
      <c r="AN914" s="29"/>
      <c r="AO914" s="29"/>
      <c r="AP914" s="29"/>
      <c r="AQ914" s="29"/>
      <c r="AR914" s="29"/>
      <c r="AS914" s="29"/>
      <c r="AT914" s="29"/>
      <c r="AU914" s="29"/>
      <c r="AV914" s="29"/>
      <c r="AW914" s="29"/>
      <c r="AX914" s="29"/>
      <c r="AY914" s="29"/>
      <c r="AZ914" s="29"/>
      <c r="BA914" s="29"/>
      <c r="BB914" s="29"/>
      <c r="BC914" s="29"/>
      <c r="BD914" s="29"/>
      <c r="BE914" s="29"/>
      <c r="BF914" s="29"/>
      <c r="BG914" s="29"/>
      <c r="BH914" s="29"/>
    </row>
    <row r="915" spans="1:60" ht="14.25" customHeight="1" x14ac:dyDescent="0.3">
      <c r="A915" s="28"/>
      <c r="B915" s="29"/>
      <c r="C915" s="30"/>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c r="AJ915" s="29"/>
      <c r="AK915" s="29"/>
      <c r="AL915" s="29"/>
      <c r="AM915" s="29"/>
      <c r="AN915" s="29"/>
      <c r="AO915" s="29"/>
      <c r="AP915" s="29"/>
      <c r="AQ915" s="29"/>
      <c r="AR915" s="29"/>
      <c r="AS915" s="29"/>
      <c r="AT915" s="29"/>
      <c r="AU915" s="29"/>
      <c r="AV915" s="29"/>
      <c r="AW915" s="29"/>
      <c r="AX915" s="29"/>
      <c r="AY915" s="29"/>
      <c r="AZ915" s="29"/>
      <c r="BA915" s="29"/>
      <c r="BB915" s="29"/>
      <c r="BC915" s="29"/>
      <c r="BD915" s="29"/>
      <c r="BE915" s="29"/>
      <c r="BF915" s="29"/>
      <c r="BG915" s="29"/>
      <c r="BH915" s="29"/>
    </row>
    <row r="916" spans="1:60" ht="14.25" customHeight="1" x14ac:dyDescent="0.3">
      <c r="A916" s="28"/>
      <c r="B916" s="29"/>
      <c r="C916" s="30"/>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c r="AH916" s="29"/>
      <c r="AI916" s="29"/>
      <c r="AJ916" s="29"/>
      <c r="AK916" s="29"/>
      <c r="AL916" s="29"/>
      <c r="AM916" s="29"/>
      <c r="AN916" s="29"/>
      <c r="AO916" s="29"/>
      <c r="AP916" s="29"/>
      <c r="AQ916" s="29"/>
      <c r="AR916" s="29"/>
      <c r="AS916" s="29"/>
      <c r="AT916" s="29"/>
      <c r="AU916" s="29"/>
      <c r="AV916" s="29"/>
      <c r="AW916" s="29"/>
      <c r="AX916" s="29"/>
      <c r="AY916" s="29"/>
      <c r="AZ916" s="29"/>
      <c r="BA916" s="29"/>
      <c r="BB916" s="29"/>
      <c r="BC916" s="29"/>
      <c r="BD916" s="29"/>
      <c r="BE916" s="29"/>
      <c r="BF916" s="29"/>
      <c r="BG916" s="29"/>
      <c r="BH916" s="29"/>
    </row>
    <row r="917" spans="1:60" ht="14.25" customHeight="1" x14ac:dyDescent="0.3">
      <c r="A917" s="28"/>
      <c r="B917" s="29"/>
      <c r="C917" s="30"/>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J917" s="29"/>
      <c r="AK917" s="29"/>
      <c r="AL917" s="29"/>
      <c r="AM917" s="29"/>
      <c r="AN917" s="29"/>
      <c r="AO917" s="29"/>
      <c r="AP917" s="29"/>
      <c r="AQ917" s="29"/>
      <c r="AR917" s="29"/>
      <c r="AS917" s="29"/>
      <c r="AT917" s="29"/>
      <c r="AU917" s="29"/>
      <c r="AV917" s="29"/>
      <c r="AW917" s="29"/>
      <c r="AX917" s="29"/>
      <c r="AY917" s="29"/>
      <c r="AZ917" s="29"/>
      <c r="BA917" s="29"/>
      <c r="BB917" s="29"/>
      <c r="BC917" s="29"/>
      <c r="BD917" s="29"/>
      <c r="BE917" s="29"/>
      <c r="BF917" s="29"/>
      <c r="BG917" s="29"/>
      <c r="BH917" s="29"/>
    </row>
    <row r="918" spans="1:60" ht="14.25" customHeight="1" x14ac:dyDescent="0.3">
      <c r="A918" s="28"/>
      <c r="B918" s="29"/>
      <c r="C918" s="30"/>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29"/>
      <c r="AI918" s="29"/>
      <c r="AJ918" s="29"/>
      <c r="AK918" s="29"/>
      <c r="AL918" s="29"/>
      <c r="AM918" s="29"/>
      <c r="AN918" s="29"/>
      <c r="AO918" s="29"/>
      <c r="AP918" s="29"/>
      <c r="AQ918" s="29"/>
      <c r="AR918" s="29"/>
      <c r="AS918" s="29"/>
      <c r="AT918" s="29"/>
      <c r="AU918" s="29"/>
      <c r="AV918" s="29"/>
      <c r="AW918" s="29"/>
      <c r="AX918" s="29"/>
      <c r="AY918" s="29"/>
      <c r="AZ918" s="29"/>
      <c r="BA918" s="29"/>
      <c r="BB918" s="29"/>
      <c r="BC918" s="29"/>
      <c r="BD918" s="29"/>
      <c r="BE918" s="29"/>
      <c r="BF918" s="29"/>
      <c r="BG918" s="29"/>
      <c r="BH918" s="29"/>
    </row>
    <row r="919" spans="1:60" ht="14.25" customHeight="1" x14ac:dyDescent="0.3">
      <c r="A919" s="28"/>
      <c r="B919" s="29"/>
      <c r="C919" s="30"/>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c r="AK919" s="29"/>
      <c r="AL919" s="29"/>
      <c r="AM919" s="29"/>
      <c r="AN919" s="29"/>
      <c r="AO919" s="29"/>
      <c r="AP919" s="29"/>
      <c r="AQ919" s="29"/>
      <c r="AR919" s="29"/>
      <c r="AS919" s="29"/>
      <c r="AT919" s="29"/>
      <c r="AU919" s="29"/>
      <c r="AV919" s="29"/>
      <c r="AW919" s="29"/>
      <c r="AX919" s="29"/>
      <c r="AY919" s="29"/>
      <c r="AZ919" s="29"/>
      <c r="BA919" s="29"/>
      <c r="BB919" s="29"/>
      <c r="BC919" s="29"/>
      <c r="BD919" s="29"/>
      <c r="BE919" s="29"/>
      <c r="BF919" s="29"/>
      <c r="BG919" s="29"/>
      <c r="BH919" s="29"/>
    </row>
    <row r="920" spans="1:60" ht="14.25" customHeight="1" x14ac:dyDescent="0.3">
      <c r="A920" s="28"/>
      <c r="B920" s="29"/>
      <c r="C920" s="30"/>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29"/>
      <c r="AI920" s="29"/>
      <c r="AJ920" s="29"/>
      <c r="AK920" s="29"/>
      <c r="AL920" s="29"/>
      <c r="AM920" s="29"/>
      <c r="AN920" s="29"/>
      <c r="AO920" s="29"/>
      <c r="AP920" s="29"/>
      <c r="AQ920" s="29"/>
      <c r="AR920" s="29"/>
      <c r="AS920" s="29"/>
      <c r="AT920" s="29"/>
      <c r="AU920" s="29"/>
      <c r="AV920" s="29"/>
      <c r="AW920" s="29"/>
      <c r="AX920" s="29"/>
      <c r="AY920" s="29"/>
      <c r="AZ920" s="29"/>
      <c r="BA920" s="29"/>
      <c r="BB920" s="29"/>
      <c r="BC920" s="29"/>
      <c r="BD920" s="29"/>
      <c r="BE920" s="29"/>
      <c r="BF920" s="29"/>
      <c r="BG920" s="29"/>
      <c r="BH920" s="29"/>
    </row>
    <row r="921" spans="1:60" ht="14.25" customHeight="1" x14ac:dyDescent="0.3">
      <c r="A921" s="28"/>
      <c r="B921" s="29"/>
      <c r="C921" s="30"/>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c r="AK921" s="29"/>
      <c r="AL921" s="29"/>
      <c r="AM921" s="29"/>
      <c r="AN921" s="29"/>
      <c r="AO921" s="29"/>
      <c r="AP921" s="29"/>
      <c r="AQ921" s="29"/>
      <c r="AR921" s="29"/>
      <c r="AS921" s="29"/>
      <c r="AT921" s="29"/>
      <c r="AU921" s="29"/>
      <c r="AV921" s="29"/>
      <c r="AW921" s="29"/>
      <c r="AX921" s="29"/>
      <c r="AY921" s="29"/>
      <c r="AZ921" s="29"/>
      <c r="BA921" s="29"/>
      <c r="BB921" s="29"/>
      <c r="BC921" s="29"/>
      <c r="BD921" s="29"/>
      <c r="BE921" s="29"/>
      <c r="BF921" s="29"/>
      <c r="BG921" s="29"/>
      <c r="BH921" s="29"/>
    </row>
    <row r="922" spans="1:60" ht="14.25" customHeight="1" x14ac:dyDescent="0.3">
      <c r="A922" s="28"/>
      <c r="B922" s="29"/>
      <c r="C922" s="30"/>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c r="AH922" s="29"/>
      <c r="AI922" s="29"/>
      <c r="AJ922" s="29"/>
      <c r="AK922" s="29"/>
      <c r="AL922" s="29"/>
      <c r="AM922" s="29"/>
      <c r="AN922" s="29"/>
      <c r="AO922" s="29"/>
      <c r="AP922" s="29"/>
      <c r="AQ922" s="29"/>
      <c r="AR922" s="29"/>
      <c r="AS922" s="29"/>
      <c r="AT922" s="29"/>
      <c r="AU922" s="29"/>
      <c r="AV922" s="29"/>
      <c r="AW922" s="29"/>
      <c r="AX922" s="29"/>
      <c r="AY922" s="29"/>
      <c r="AZ922" s="29"/>
      <c r="BA922" s="29"/>
      <c r="BB922" s="29"/>
      <c r="BC922" s="29"/>
      <c r="BD922" s="29"/>
      <c r="BE922" s="29"/>
      <c r="BF922" s="29"/>
      <c r="BG922" s="29"/>
      <c r="BH922" s="29"/>
    </row>
    <row r="923" spans="1:60" ht="14.25" customHeight="1" x14ac:dyDescent="0.3">
      <c r="A923" s="28"/>
      <c r="B923" s="29"/>
      <c r="C923" s="30"/>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c r="AK923" s="29"/>
      <c r="AL923" s="29"/>
      <c r="AM923" s="29"/>
      <c r="AN923" s="29"/>
      <c r="AO923" s="29"/>
      <c r="AP923" s="29"/>
      <c r="AQ923" s="29"/>
      <c r="AR923" s="29"/>
      <c r="AS923" s="29"/>
      <c r="AT923" s="29"/>
      <c r="AU923" s="29"/>
      <c r="AV923" s="29"/>
      <c r="AW923" s="29"/>
      <c r="AX923" s="29"/>
      <c r="AY923" s="29"/>
      <c r="AZ923" s="29"/>
      <c r="BA923" s="29"/>
      <c r="BB923" s="29"/>
      <c r="BC923" s="29"/>
      <c r="BD923" s="29"/>
      <c r="BE923" s="29"/>
      <c r="BF923" s="29"/>
      <c r="BG923" s="29"/>
      <c r="BH923" s="29"/>
    </row>
    <row r="924" spans="1:60" ht="14.25" customHeight="1" x14ac:dyDescent="0.3">
      <c r="A924" s="28"/>
      <c r="B924" s="29"/>
      <c r="C924" s="30"/>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c r="AH924" s="29"/>
      <c r="AI924" s="29"/>
      <c r="AJ924" s="29"/>
      <c r="AK924" s="29"/>
      <c r="AL924" s="29"/>
      <c r="AM924" s="29"/>
      <c r="AN924" s="29"/>
      <c r="AO924" s="29"/>
      <c r="AP924" s="29"/>
      <c r="AQ924" s="29"/>
      <c r="AR924" s="29"/>
      <c r="AS924" s="29"/>
      <c r="AT924" s="29"/>
      <c r="AU924" s="29"/>
      <c r="AV924" s="29"/>
      <c r="AW924" s="29"/>
      <c r="AX924" s="29"/>
      <c r="AY924" s="29"/>
      <c r="AZ924" s="29"/>
      <c r="BA924" s="29"/>
      <c r="BB924" s="29"/>
      <c r="BC924" s="29"/>
      <c r="BD924" s="29"/>
      <c r="BE924" s="29"/>
      <c r="BF924" s="29"/>
      <c r="BG924" s="29"/>
      <c r="BH924" s="29"/>
    </row>
    <row r="925" spans="1:60" ht="14.25" customHeight="1" x14ac:dyDescent="0.3">
      <c r="A925" s="28"/>
      <c r="B925" s="29"/>
      <c r="C925" s="30"/>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J925" s="29"/>
      <c r="AK925" s="29"/>
      <c r="AL925" s="29"/>
      <c r="AM925" s="29"/>
      <c r="AN925" s="29"/>
      <c r="AO925" s="29"/>
      <c r="AP925" s="29"/>
      <c r="AQ925" s="29"/>
      <c r="AR925" s="29"/>
      <c r="AS925" s="29"/>
      <c r="AT925" s="29"/>
      <c r="AU925" s="29"/>
      <c r="AV925" s="29"/>
      <c r="AW925" s="29"/>
      <c r="AX925" s="29"/>
      <c r="AY925" s="29"/>
      <c r="AZ925" s="29"/>
      <c r="BA925" s="29"/>
      <c r="BB925" s="29"/>
      <c r="BC925" s="29"/>
      <c r="BD925" s="29"/>
      <c r="BE925" s="29"/>
      <c r="BF925" s="29"/>
      <c r="BG925" s="29"/>
      <c r="BH925" s="29"/>
    </row>
    <row r="926" spans="1:60" ht="14.25" customHeight="1" x14ac:dyDescent="0.3">
      <c r="A926" s="28"/>
      <c r="B926" s="29"/>
      <c r="C926" s="30"/>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c r="AG926" s="29"/>
      <c r="AH926" s="29"/>
      <c r="AI926" s="29"/>
      <c r="AJ926" s="29"/>
      <c r="AK926" s="29"/>
      <c r="AL926" s="29"/>
      <c r="AM926" s="29"/>
      <c r="AN926" s="29"/>
      <c r="AO926" s="29"/>
      <c r="AP926" s="29"/>
      <c r="AQ926" s="29"/>
      <c r="AR926" s="29"/>
      <c r="AS926" s="29"/>
      <c r="AT926" s="29"/>
      <c r="AU926" s="29"/>
      <c r="AV926" s="29"/>
      <c r="AW926" s="29"/>
      <c r="AX926" s="29"/>
      <c r="AY926" s="29"/>
      <c r="AZ926" s="29"/>
      <c r="BA926" s="29"/>
      <c r="BB926" s="29"/>
      <c r="BC926" s="29"/>
      <c r="BD926" s="29"/>
      <c r="BE926" s="29"/>
      <c r="BF926" s="29"/>
      <c r="BG926" s="29"/>
      <c r="BH926" s="29"/>
    </row>
    <row r="927" spans="1:60" ht="14.25" customHeight="1" x14ac:dyDescent="0.3">
      <c r="A927" s="28"/>
      <c r="B927" s="29"/>
      <c r="C927" s="30"/>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J927" s="29"/>
      <c r="AK927" s="29"/>
      <c r="AL927" s="29"/>
      <c r="AM927" s="29"/>
      <c r="AN927" s="29"/>
      <c r="AO927" s="29"/>
      <c r="AP927" s="29"/>
      <c r="AQ927" s="29"/>
      <c r="AR927" s="29"/>
      <c r="AS927" s="29"/>
      <c r="AT927" s="29"/>
      <c r="AU927" s="29"/>
      <c r="AV927" s="29"/>
      <c r="AW927" s="29"/>
      <c r="AX927" s="29"/>
      <c r="AY927" s="29"/>
      <c r="AZ927" s="29"/>
      <c r="BA927" s="29"/>
      <c r="BB927" s="29"/>
      <c r="BC927" s="29"/>
      <c r="BD927" s="29"/>
      <c r="BE927" s="29"/>
      <c r="BF927" s="29"/>
      <c r="BG927" s="29"/>
      <c r="BH927" s="29"/>
    </row>
    <row r="928" spans="1:60" ht="14.25" customHeight="1" x14ac:dyDescent="0.3">
      <c r="A928" s="28"/>
      <c r="B928" s="29"/>
      <c r="C928" s="30"/>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c r="AG928" s="29"/>
      <c r="AH928" s="29"/>
      <c r="AI928" s="29"/>
      <c r="AJ928" s="29"/>
      <c r="AK928" s="29"/>
      <c r="AL928" s="29"/>
      <c r="AM928" s="29"/>
      <c r="AN928" s="29"/>
      <c r="AO928" s="29"/>
      <c r="AP928" s="29"/>
      <c r="AQ928" s="29"/>
      <c r="AR928" s="29"/>
      <c r="AS928" s="29"/>
      <c r="AT928" s="29"/>
      <c r="AU928" s="29"/>
      <c r="AV928" s="29"/>
      <c r="AW928" s="29"/>
      <c r="AX928" s="29"/>
      <c r="AY928" s="29"/>
      <c r="AZ928" s="29"/>
      <c r="BA928" s="29"/>
      <c r="BB928" s="29"/>
      <c r="BC928" s="29"/>
      <c r="BD928" s="29"/>
      <c r="BE928" s="29"/>
      <c r="BF928" s="29"/>
      <c r="BG928" s="29"/>
      <c r="BH928" s="29"/>
    </row>
    <row r="929" spans="1:60" ht="14.25" customHeight="1" x14ac:dyDescent="0.3">
      <c r="A929" s="28"/>
      <c r="B929" s="29"/>
      <c r="C929" s="30"/>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J929" s="29"/>
      <c r="AK929" s="29"/>
      <c r="AL929" s="29"/>
      <c r="AM929" s="29"/>
      <c r="AN929" s="29"/>
      <c r="AO929" s="29"/>
      <c r="AP929" s="29"/>
      <c r="AQ929" s="29"/>
      <c r="AR929" s="29"/>
      <c r="AS929" s="29"/>
      <c r="AT929" s="29"/>
      <c r="AU929" s="29"/>
      <c r="AV929" s="29"/>
      <c r="AW929" s="29"/>
      <c r="AX929" s="29"/>
      <c r="AY929" s="29"/>
      <c r="AZ929" s="29"/>
      <c r="BA929" s="29"/>
      <c r="BB929" s="29"/>
      <c r="BC929" s="29"/>
      <c r="BD929" s="29"/>
      <c r="BE929" s="29"/>
      <c r="BF929" s="29"/>
      <c r="BG929" s="29"/>
      <c r="BH929" s="29"/>
    </row>
    <row r="930" spans="1:60" ht="14.25" customHeight="1" x14ac:dyDescent="0.3">
      <c r="A930" s="28"/>
      <c r="B930" s="29"/>
      <c r="C930" s="30"/>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c r="AG930" s="29"/>
      <c r="AH930" s="29"/>
      <c r="AI930" s="29"/>
      <c r="AJ930" s="29"/>
      <c r="AK930" s="29"/>
      <c r="AL930" s="29"/>
      <c r="AM930" s="29"/>
      <c r="AN930" s="29"/>
      <c r="AO930" s="29"/>
      <c r="AP930" s="29"/>
      <c r="AQ930" s="29"/>
      <c r="AR930" s="29"/>
      <c r="AS930" s="29"/>
      <c r="AT930" s="29"/>
      <c r="AU930" s="29"/>
      <c r="AV930" s="29"/>
      <c r="AW930" s="29"/>
      <c r="AX930" s="29"/>
      <c r="AY930" s="29"/>
      <c r="AZ930" s="29"/>
      <c r="BA930" s="29"/>
      <c r="BB930" s="29"/>
      <c r="BC930" s="29"/>
      <c r="BD930" s="29"/>
      <c r="BE930" s="29"/>
      <c r="BF930" s="29"/>
      <c r="BG930" s="29"/>
      <c r="BH930" s="29"/>
    </row>
    <row r="931" spans="1:60" ht="14.25" customHeight="1" x14ac:dyDescent="0.3">
      <c r="A931" s="28"/>
      <c r="B931" s="29"/>
      <c r="C931" s="30"/>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J931" s="29"/>
      <c r="AK931" s="29"/>
      <c r="AL931" s="29"/>
      <c r="AM931" s="29"/>
      <c r="AN931" s="29"/>
      <c r="AO931" s="29"/>
      <c r="AP931" s="29"/>
      <c r="AQ931" s="29"/>
      <c r="AR931" s="29"/>
      <c r="AS931" s="29"/>
      <c r="AT931" s="29"/>
      <c r="AU931" s="29"/>
      <c r="AV931" s="29"/>
      <c r="AW931" s="29"/>
      <c r="AX931" s="29"/>
      <c r="AY931" s="29"/>
      <c r="AZ931" s="29"/>
      <c r="BA931" s="29"/>
      <c r="BB931" s="29"/>
      <c r="BC931" s="29"/>
      <c r="BD931" s="29"/>
      <c r="BE931" s="29"/>
      <c r="BF931" s="29"/>
      <c r="BG931" s="29"/>
      <c r="BH931" s="29"/>
    </row>
    <row r="932" spans="1:60" ht="14.25" customHeight="1" x14ac:dyDescent="0.3">
      <c r="A932" s="28"/>
      <c r="B932" s="29"/>
      <c r="C932" s="30"/>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c r="AG932" s="29"/>
      <c r="AH932" s="29"/>
      <c r="AI932" s="29"/>
      <c r="AJ932" s="29"/>
      <c r="AK932" s="29"/>
      <c r="AL932" s="29"/>
      <c r="AM932" s="29"/>
      <c r="AN932" s="29"/>
      <c r="AO932" s="29"/>
      <c r="AP932" s="29"/>
      <c r="AQ932" s="29"/>
      <c r="AR932" s="29"/>
      <c r="AS932" s="29"/>
      <c r="AT932" s="29"/>
      <c r="AU932" s="29"/>
      <c r="AV932" s="29"/>
      <c r="AW932" s="29"/>
      <c r="AX932" s="29"/>
      <c r="AY932" s="29"/>
      <c r="AZ932" s="29"/>
      <c r="BA932" s="29"/>
      <c r="BB932" s="29"/>
      <c r="BC932" s="29"/>
      <c r="BD932" s="29"/>
      <c r="BE932" s="29"/>
      <c r="BF932" s="29"/>
      <c r="BG932" s="29"/>
      <c r="BH932" s="29"/>
    </row>
    <row r="933" spans="1:60" ht="14.25" customHeight="1" x14ac:dyDescent="0.3">
      <c r="A933" s="28"/>
      <c r="B933" s="29"/>
      <c r="C933" s="30"/>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J933" s="29"/>
      <c r="AK933" s="29"/>
      <c r="AL933" s="29"/>
      <c r="AM933" s="29"/>
      <c r="AN933" s="29"/>
      <c r="AO933" s="29"/>
      <c r="AP933" s="29"/>
      <c r="AQ933" s="29"/>
      <c r="AR933" s="29"/>
      <c r="AS933" s="29"/>
      <c r="AT933" s="29"/>
      <c r="AU933" s="29"/>
      <c r="AV933" s="29"/>
      <c r="AW933" s="29"/>
      <c r="AX933" s="29"/>
      <c r="AY933" s="29"/>
      <c r="AZ933" s="29"/>
      <c r="BA933" s="29"/>
      <c r="BB933" s="29"/>
      <c r="BC933" s="29"/>
      <c r="BD933" s="29"/>
      <c r="BE933" s="29"/>
      <c r="BF933" s="29"/>
      <c r="BG933" s="29"/>
      <c r="BH933" s="29"/>
    </row>
    <row r="934" spans="1:60" ht="14.25" customHeight="1" x14ac:dyDescent="0.3">
      <c r="A934" s="28"/>
      <c r="B934" s="29"/>
      <c r="C934" s="30"/>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c r="AG934" s="29"/>
      <c r="AH934" s="29"/>
      <c r="AI934" s="29"/>
      <c r="AJ934" s="29"/>
      <c r="AK934" s="29"/>
      <c r="AL934" s="29"/>
      <c r="AM934" s="29"/>
      <c r="AN934" s="29"/>
      <c r="AO934" s="29"/>
      <c r="AP934" s="29"/>
      <c r="AQ934" s="29"/>
      <c r="AR934" s="29"/>
      <c r="AS934" s="29"/>
      <c r="AT934" s="29"/>
      <c r="AU934" s="29"/>
      <c r="AV934" s="29"/>
      <c r="AW934" s="29"/>
      <c r="AX934" s="29"/>
      <c r="AY934" s="29"/>
      <c r="AZ934" s="29"/>
      <c r="BA934" s="29"/>
      <c r="BB934" s="29"/>
      <c r="BC934" s="29"/>
      <c r="BD934" s="29"/>
      <c r="BE934" s="29"/>
      <c r="BF934" s="29"/>
      <c r="BG934" s="29"/>
      <c r="BH934" s="29"/>
    </row>
    <row r="935" spans="1:60" ht="14.25" customHeight="1" x14ac:dyDescent="0.3">
      <c r="A935" s="28"/>
      <c r="B935" s="29"/>
      <c r="C935" s="30"/>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c r="AK935" s="29"/>
      <c r="AL935" s="29"/>
      <c r="AM935" s="29"/>
      <c r="AN935" s="29"/>
      <c r="AO935" s="29"/>
      <c r="AP935" s="29"/>
      <c r="AQ935" s="29"/>
      <c r="AR935" s="29"/>
      <c r="AS935" s="29"/>
      <c r="AT935" s="29"/>
      <c r="AU935" s="29"/>
      <c r="AV935" s="29"/>
      <c r="AW935" s="29"/>
      <c r="AX935" s="29"/>
      <c r="AY935" s="29"/>
      <c r="AZ935" s="29"/>
      <c r="BA935" s="29"/>
      <c r="BB935" s="29"/>
      <c r="BC935" s="29"/>
      <c r="BD935" s="29"/>
      <c r="BE935" s="29"/>
      <c r="BF935" s="29"/>
      <c r="BG935" s="29"/>
      <c r="BH935" s="29"/>
    </row>
    <row r="936" spans="1:60" ht="14.25" customHeight="1" x14ac:dyDescent="0.3">
      <c r="A936" s="28"/>
      <c r="B936" s="29"/>
      <c r="C936" s="30"/>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c r="AG936" s="29"/>
      <c r="AH936" s="29"/>
      <c r="AI936" s="29"/>
      <c r="AJ936" s="29"/>
      <c r="AK936" s="29"/>
      <c r="AL936" s="29"/>
      <c r="AM936" s="29"/>
      <c r="AN936" s="29"/>
      <c r="AO936" s="29"/>
      <c r="AP936" s="29"/>
      <c r="AQ936" s="29"/>
      <c r="AR936" s="29"/>
      <c r="AS936" s="29"/>
      <c r="AT936" s="29"/>
      <c r="AU936" s="29"/>
      <c r="AV936" s="29"/>
      <c r="AW936" s="29"/>
      <c r="AX936" s="29"/>
      <c r="AY936" s="29"/>
      <c r="AZ936" s="29"/>
      <c r="BA936" s="29"/>
      <c r="BB936" s="29"/>
      <c r="BC936" s="29"/>
      <c r="BD936" s="29"/>
      <c r="BE936" s="29"/>
      <c r="BF936" s="29"/>
      <c r="BG936" s="29"/>
      <c r="BH936" s="29"/>
    </row>
    <row r="937" spans="1:60" ht="14.25" customHeight="1" x14ac:dyDescent="0.3">
      <c r="A937" s="28"/>
      <c r="B937" s="29"/>
      <c r="C937" s="30"/>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c r="AK937" s="29"/>
      <c r="AL937" s="29"/>
      <c r="AM937" s="29"/>
      <c r="AN937" s="29"/>
      <c r="AO937" s="29"/>
      <c r="AP937" s="29"/>
      <c r="AQ937" s="29"/>
      <c r="AR937" s="29"/>
      <c r="AS937" s="29"/>
      <c r="AT937" s="29"/>
      <c r="AU937" s="29"/>
      <c r="AV937" s="29"/>
      <c r="AW937" s="29"/>
      <c r="AX937" s="29"/>
      <c r="AY937" s="29"/>
      <c r="AZ937" s="29"/>
      <c r="BA937" s="29"/>
      <c r="BB937" s="29"/>
      <c r="BC937" s="29"/>
      <c r="BD937" s="29"/>
      <c r="BE937" s="29"/>
      <c r="BF937" s="29"/>
      <c r="BG937" s="29"/>
      <c r="BH937" s="29"/>
    </row>
    <row r="938" spans="1:60" ht="14.25" customHeight="1" x14ac:dyDescent="0.3">
      <c r="A938" s="28"/>
      <c r="B938" s="29"/>
      <c r="C938" s="30"/>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c r="AG938" s="29"/>
      <c r="AH938" s="29"/>
      <c r="AI938" s="29"/>
      <c r="AJ938" s="29"/>
      <c r="AK938" s="29"/>
      <c r="AL938" s="29"/>
      <c r="AM938" s="29"/>
      <c r="AN938" s="29"/>
      <c r="AO938" s="29"/>
      <c r="AP938" s="29"/>
      <c r="AQ938" s="29"/>
      <c r="AR938" s="29"/>
      <c r="AS938" s="29"/>
      <c r="AT938" s="29"/>
      <c r="AU938" s="29"/>
      <c r="AV938" s="29"/>
      <c r="AW938" s="29"/>
      <c r="AX938" s="29"/>
      <c r="AY938" s="29"/>
      <c r="AZ938" s="29"/>
      <c r="BA938" s="29"/>
      <c r="BB938" s="29"/>
      <c r="BC938" s="29"/>
      <c r="BD938" s="29"/>
      <c r="BE938" s="29"/>
      <c r="BF938" s="29"/>
      <c r="BG938" s="29"/>
      <c r="BH938" s="29"/>
    </row>
    <row r="939" spans="1:60" ht="14.25" customHeight="1" x14ac:dyDescent="0.3">
      <c r="A939" s="28"/>
      <c r="B939" s="29"/>
      <c r="C939" s="30"/>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J939" s="29"/>
      <c r="AK939" s="29"/>
      <c r="AL939" s="29"/>
      <c r="AM939" s="29"/>
      <c r="AN939" s="29"/>
      <c r="AO939" s="29"/>
      <c r="AP939" s="29"/>
      <c r="AQ939" s="29"/>
      <c r="AR939" s="29"/>
      <c r="AS939" s="29"/>
      <c r="AT939" s="29"/>
      <c r="AU939" s="29"/>
      <c r="AV939" s="29"/>
      <c r="AW939" s="29"/>
      <c r="AX939" s="29"/>
      <c r="AY939" s="29"/>
      <c r="AZ939" s="29"/>
      <c r="BA939" s="29"/>
      <c r="BB939" s="29"/>
      <c r="BC939" s="29"/>
      <c r="BD939" s="29"/>
      <c r="BE939" s="29"/>
      <c r="BF939" s="29"/>
      <c r="BG939" s="29"/>
      <c r="BH939" s="29"/>
    </row>
    <row r="940" spans="1:60" ht="14.25" customHeight="1" x14ac:dyDescent="0.3">
      <c r="A940" s="28"/>
      <c r="B940" s="29"/>
      <c r="C940" s="30"/>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29"/>
      <c r="AI940" s="29"/>
      <c r="AJ940" s="29"/>
      <c r="AK940" s="29"/>
      <c r="AL940" s="29"/>
      <c r="AM940" s="29"/>
      <c r="AN940" s="29"/>
      <c r="AO940" s="29"/>
      <c r="AP940" s="29"/>
      <c r="AQ940" s="29"/>
      <c r="AR940" s="29"/>
      <c r="AS940" s="29"/>
      <c r="AT940" s="29"/>
      <c r="AU940" s="29"/>
      <c r="AV940" s="29"/>
      <c r="AW940" s="29"/>
      <c r="AX940" s="29"/>
      <c r="AY940" s="29"/>
      <c r="AZ940" s="29"/>
      <c r="BA940" s="29"/>
      <c r="BB940" s="29"/>
      <c r="BC940" s="29"/>
      <c r="BD940" s="29"/>
      <c r="BE940" s="29"/>
      <c r="BF940" s="29"/>
      <c r="BG940" s="29"/>
      <c r="BH940" s="29"/>
    </row>
    <row r="941" spans="1:60" ht="14.25" customHeight="1" x14ac:dyDescent="0.3">
      <c r="A941" s="28"/>
      <c r="B941" s="29"/>
      <c r="C941" s="30"/>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c r="AK941" s="29"/>
      <c r="AL941" s="29"/>
      <c r="AM941" s="29"/>
      <c r="AN941" s="29"/>
      <c r="AO941" s="29"/>
      <c r="AP941" s="29"/>
      <c r="AQ941" s="29"/>
      <c r="AR941" s="29"/>
      <c r="AS941" s="29"/>
      <c r="AT941" s="29"/>
      <c r="AU941" s="29"/>
      <c r="AV941" s="29"/>
      <c r="AW941" s="29"/>
      <c r="AX941" s="29"/>
      <c r="AY941" s="29"/>
      <c r="AZ941" s="29"/>
      <c r="BA941" s="29"/>
      <c r="BB941" s="29"/>
      <c r="BC941" s="29"/>
      <c r="BD941" s="29"/>
      <c r="BE941" s="29"/>
      <c r="BF941" s="29"/>
      <c r="BG941" s="29"/>
      <c r="BH941" s="29"/>
    </row>
    <row r="942" spans="1:60" ht="14.25" customHeight="1" x14ac:dyDescent="0.3">
      <c r="A942" s="28"/>
      <c r="B942" s="29"/>
      <c r="C942" s="30"/>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29"/>
      <c r="AI942" s="29"/>
      <c r="AJ942" s="29"/>
      <c r="AK942" s="29"/>
      <c r="AL942" s="29"/>
      <c r="AM942" s="29"/>
      <c r="AN942" s="29"/>
      <c r="AO942" s="29"/>
      <c r="AP942" s="29"/>
      <c r="AQ942" s="29"/>
      <c r="AR942" s="29"/>
      <c r="AS942" s="29"/>
      <c r="AT942" s="29"/>
      <c r="AU942" s="29"/>
      <c r="AV942" s="29"/>
      <c r="AW942" s="29"/>
      <c r="AX942" s="29"/>
      <c r="AY942" s="29"/>
      <c r="AZ942" s="29"/>
      <c r="BA942" s="29"/>
      <c r="BB942" s="29"/>
      <c r="BC942" s="29"/>
      <c r="BD942" s="29"/>
      <c r="BE942" s="29"/>
      <c r="BF942" s="29"/>
      <c r="BG942" s="29"/>
      <c r="BH942" s="29"/>
    </row>
    <row r="943" spans="1:60" ht="14.25" customHeight="1" x14ac:dyDescent="0.3">
      <c r="A943" s="28"/>
      <c r="B943" s="29"/>
      <c r="C943" s="30"/>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c r="AK943" s="29"/>
      <c r="AL943" s="29"/>
      <c r="AM943" s="29"/>
      <c r="AN943" s="29"/>
      <c r="AO943" s="29"/>
      <c r="AP943" s="29"/>
      <c r="AQ943" s="29"/>
      <c r="AR943" s="29"/>
      <c r="AS943" s="29"/>
      <c r="AT943" s="29"/>
      <c r="AU943" s="29"/>
      <c r="AV943" s="29"/>
      <c r="AW943" s="29"/>
      <c r="AX943" s="29"/>
      <c r="AY943" s="29"/>
      <c r="AZ943" s="29"/>
      <c r="BA943" s="29"/>
      <c r="BB943" s="29"/>
      <c r="BC943" s="29"/>
      <c r="BD943" s="29"/>
      <c r="BE943" s="29"/>
      <c r="BF943" s="29"/>
      <c r="BG943" s="29"/>
      <c r="BH943" s="29"/>
    </row>
    <row r="944" spans="1:60" ht="14.25" customHeight="1" x14ac:dyDescent="0.3">
      <c r="A944" s="28"/>
      <c r="B944" s="29"/>
      <c r="C944" s="30"/>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c r="AJ944" s="29"/>
      <c r="AK944" s="29"/>
      <c r="AL944" s="29"/>
      <c r="AM944" s="29"/>
      <c r="AN944" s="29"/>
      <c r="AO944" s="29"/>
      <c r="AP944" s="29"/>
      <c r="AQ944" s="29"/>
      <c r="AR944" s="29"/>
      <c r="AS944" s="29"/>
      <c r="AT944" s="29"/>
      <c r="AU944" s="29"/>
      <c r="AV944" s="29"/>
      <c r="AW944" s="29"/>
      <c r="AX944" s="29"/>
      <c r="AY944" s="29"/>
      <c r="AZ944" s="29"/>
      <c r="BA944" s="29"/>
      <c r="BB944" s="29"/>
      <c r="BC944" s="29"/>
      <c r="BD944" s="29"/>
      <c r="BE944" s="29"/>
      <c r="BF944" s="29"/>
      <c r="BG944" s="29"/>
      <c r="BH944" s="29"/>
    </row>
    <row r="945" spans="1:60" ht="14.25" customHeight="1" x14ac:dyDescent="0.3">
      <c r="A945" s="28"/>
      <c r="B945" s="29"/>
      <c r="C945" s="30"/>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c r="AK945" s="29"/>
      <c r="AL945" s="29"/>
      <c r="AM945" s="29"/>
      <c r="AN945" s="29"/>
      <c r="AO945" s="29"/>
      <c r="AP945" s="29"/>
      <c r="AQ945" s="29"/>
      <c r="AR945" s="29"/>
      <c r="AS945" s="29"/>
      <c r="AT945" s="29"/>
      <c r="AU945" s="29"/>
      <c r="AV945" s="29"/>
      <c r="AW945" s="29"/>
      <c r="AX945" s="29"/>
      <c r="AY945" s="29"/>
      <c r="AZ945" s="29"/>
      <c r="BA945" s="29"/>
      <c r="BB945" s="29"/>
      <c r="BC945" s="29"/>
      <c r="BD945" s="29"/>
      <c r="BE945" s="29"/>
      <c r="BF945" s="29"/>
      <c r="BG945" s="29"/>
      <c r="BH945" s="29"/>
    </row>
    <row r="946" spans="1:60" ht="14.25" customHeight="1" x14ac:dyDescent="0.3">
      <c r="A946" s="28"/>
      <c r="B946" s="29"/>
      <c r="C946" s="30"/>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29"/>
      <c r="AI946" s="29"/>
      <c r="AJ946" s="29"/>
      <c r="AK946" s="29"/>
      <c r="AL946" s="29"/>
      <c r="AM946" s="29"/>
      <c r="AN946" s="29"/>
      <c r="AO946" s="29"/>
      <c r="AP946" s="29"/>
      <c r="AQ946" s="29"/>
      <c r="AR946" s="29"/>
      <c r="AS946" s="29"/>
      <c r="AT946" s="29"/>
      <c r="AU946" s="29"/>
      <c r="AV946" s="29"/>
      <c r="AW946" s="29"/>
      <c r="AX946" s="29"/>
      <c r="AY946" s="29"/>
      <c r="AZ946" s="29"/>
      <c r="BA946" s="29"/>
      <c r="BB946" s="29"/>
      <c r="BC946" s="29"/>
      <c r="BD946" s="29"/>
      <c r="BE946" s="29"/>
      <c r="BF946" s="29"/>
      <c r="BG946" s="29"/>
      <c r="BH946" s="29"/>
    </row>
    <row r="947" spans="1:60" ht="14.25" customHeight="1" x14ac:dyDescent="0.3">
      <c r="A947" s="28"/>
      <c r="B947" s="29"/>
      <c r="C947" s="30"/>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c r="AO947" s="29"/>
      <c r="AP947" s="29"/>
      <c r="AQ947" s="29"/>
      <c r="AR947" s="29"/>
      <c r="AS947" s="29"/>
      <c r="AT947" s="29"/>
      <c r="AU947" s="29"/>
      <c r="AV947" s="29"/>
      <c r="AW947" s="29"/>
      <c r="AX947" s="29"/>
      <c r="AY947" s="29"/>
      <c r="AZ947" s="29"/>
      <c r="BA947" s="29"/>
      <c r="BB947" s="29"/>
      <c r="BC947" s="29"/>
      <c r="BD947" s="29"/>
      <c r="BE947" s="29"/>
      <c r="BF947" s="29"/>
      <c r="BG947" s="29"/>
      <c r="BH947" s="29"/>
    </row>
    <row r="948" spans="1:60" ht="14.25" customHeight="1" x14ac:dyDescent="0.3">
      <c r="A948" s="28"/>
      <c r="B948" s="29"/>
      <c r="C948" s="30"/>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c r="AJ948" s="29"/>
      <c r="AK948" s="29"/>
      <c r="AL948" s="29"/>
      <c r="AM948" s="29"/>
      <c r="AN948" s="29"/>
      <c r="AO948" s="29"/>
      <c r="AP948" s="29"/>
      <c r="AQ948" s="29"/>
      <c r="AR948" s="29"/>
      <c r="AS948" s="29"/>
      <c r="AT948" s="29"/>
      <c r="AU948" s="29"/>
      <c r="AV948" s="29"/>
      <c r="AW948" s="29"/>
      <c r="AX948" s="29"/>
      <c r="AY948" s="29"/>
      <c r="AZ948" s="29"/>
      <c r="BA948" s="29"/>
      <c r="BB948" s="29"/>
      <c r="BC948" s="29"/>
      <c r="BD948" s="29"/>
      <c r="BE948" s="29"/>
      <c r="BF948" s="29"/>
      <c r="BG948" s="29"/>
      <c r="BH948" s="29"/>
    </row>
    <row r="949" spans="1:60" ht="14.25" customHeight="1" x14ac:dyDescent="0.3">
      <c r="A949" s="28"/>
      <c r="B949" s="29"/>
      <c r="C949" s="30"/>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J949" s="29"/>
      <c r="AK949" s="29"/>
      <c r="AL949" s="29"/>
      <c r="AM949" s="29"/>
      <c r="AN949" s="29"/>
      <c r="AO949" s="29"/>
      <c r="AP949" s="29"/>
      <c r="AQ949" s="29"/>
      <c r="AR949" s="29"/>
      <c r="AS949" s="29"/>
      <c r="AT949" s="29"/>
      <c r="AU949" s="29"/>
      <c r="AV949" s="29"/>
      <c r="AW949" s="29"/>
      <c r="AX949" s="29"/>
      <c r="AY949" s="29"/>
      <c r="AZ949" s="29"/>
      <c r="BA949" s="29"/>
      <c r="BB949" s="29"/>
      <c r="BC949" s="29"/>
      <c r="BD949" s="29"/>
      <c r="BE949" s="29"/>
      <c r="BF949" s="29"/>
      <c r="BG949" s="29"/>
      <c r="BH949" s="29"/>
    </row>
    <row r="950" spans="1:60" ht="14.25" customHeight="1" x14ac:dyDescent="0.3">
      <c r="A950" s="28"/>
      <c r="B950" s="29"/>
      <c r="C950" s="30"/>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c r="AG950" s="29"/>
      <c r="AH950" s="29"/>
      <c r="AI950" s="29"/>
      <c r="AJ950" s="29"/>
      <c r="AK950" s="29"/>
      <c r="AL950" s="29"/>
      <c r="AM950" s="29"/>
      <c r="AN950" s="29"/>
      <c r="AO950" s="29"/>
      <c r="AP950" s="29"/>
      <c r="AQ950" s="29"/>
      <c r="AR950" s="29"/>
      <c r="AS950" s="29"/>
      <c r="AT950" s="29"/>
      <c r="AU950" s="29"/>
      <c r="AV950" s="29"/>
      <c r="AW950" s="29"/>
      <c r="AX950" s="29"/>
      <c r="AY950" s="29"/>
      <c r="AZ950" s="29"/>
      <c r="BA950" s="29"/>
      <c r="BB950" s="29"/>
      <c r="BC950" s="29"/>
      <c r="BD950" s="29"/>
      <c r="BE950" s="29"/>
      <c r="BF950" s="29"/>
      <c r="BG950" s="29"/>
      <c r="BH950" s="29"/>
    </row>
    <row r="951" spans="1:60" ht="14.25" customHeight="1" x14ac:dyDescent="0.3">
      <c r="A951" s="28"/>
      <c r="B951" s="29"/>
      <c r="C951" s="30"/>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J951" s="29"/>
      <c r="AK951" s="29"/>
      <c r="AL951" s="29"/>
      <c r="AM951" s="29"/>
      <c r="AN951" s="29"/>
      <c r="AO951" s="29"/>
      <c r="AP951" s="29"/>
      <c r="AQ951" s="29"/>
      <c r="AR951" s="29"/>
      <c r="AS951" s="29"/>
      <c r="AT951" s="29"/>
      <c r="AU951" s="29"/>
      <c r="AV951" s="29"/>
      <c r="AW951" s="29"/>
      <c r="AX951" s="29"/>
      <c r="AY951" s="29"/>
      <c r="AZ951" s="29"/>
      <c r="BA951" s="29"/>
      <c r="BB951" s="29"/>
      <c r="BC951" s="29"/>
      <c r="BD951" s="29"/>
      <c r="BE951" s="29"/>
      <c r="BF951" s="29"/>
      <c r="BG951" s="29"/>
      <c r="BH951" s="29"/>
    </row>
    <row r="952" spans="1:60" ht="14.25" customHeight="1" x14ac:dyDescent="0.3">
      <c r="A952" s="28"/>
      <c r="B952" s="29"/>
      <c r="C952" s="30"/>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29"/>
      <c r="AI952" s="29"/>
      <c r="AJ952" s="29"/>
      <c r="AK952" s="29"/>
      <c r="AL952" s="29"/>
      <c r="AM952" s="29"/>
      <c r="AN952" s="29"/>
      <c r="AO952" s="29"/>
      <c r="AP952" s="29"/>
      <c r="AQ952" s="29"/>
      <c r="AR952" s="29"/>
      <c r="AS952" s="29"/>
      <c r="AT952" s="29"/>
      <c r="AU952" s="29"/>
      <c r="AV952" s="29"/>
      <c r="AW952" s="29"/>
      <c r="AX952" s="29"/>
      <c r="AY952" s="29"/>
      <c r="AZ952" s="29"/>
      <c r="BA952" s="29"/>
      <c r="BB952" s="29"/>
      <c r="BC952" s="29"/>
      <c r="BD952" s="29"/>
      <c r="BE952" s="29"/>
      <c r="BF952" s="29"/>
      <c r="BG952" s="29"/>
      <c r="BH952" s="29"/>
    </row>
    <row r="953" spans="1:60" ht="14.25" customHeight="1" x14ac:dyDescent="0.3">
      <c r="A953" s="28"/>
      <c r="B953" s="29"/>
      <c r="C953" s="30"/>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c r="AK953" s="29"/>
      <c r="AL953" s="29"/>
      <c r="AM953" s="29"/>
      <c r="AN953" s="29"/>
      <c r="AO953" s="29"/>
      <c r="AP953" s="29"/>
      <c r="AQ953" s="29"/>
      <c r="AR953" s="29"/>
      <c r="AS953" s="29"/>
      <c r="AT953" s="29"/>
      <c r="AU953" s="29"/>
      <c r="AV953" s="29"/>
      <c r="AW953" s="29"/>
      <c r="AX953" s="29"/>
      <c r="AY953" s="29"/>
      <c r="AZ953" s="29"/>
      <c r="BA953" s="29"/>
      <c r="BB953" s="29"/>
      <c r="BC953" s="29"/>
      <c r="BD953" s="29"/>
      <c r="BE953" s="29"/>
      <c r="BF953" s="29"/>
      <c r="BG953" s="29"/>
      <c r="BH953" s="29"/>
    </row>
    <row r="954" spans="1:60" ht="14.25" customHeight="1" x14ac:dyDescent="0.3">
      <c r="A954" s="28"/>
      <c r="B954" s="29"/>
      <c r="C954" s="30"/>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29"/>
      <c r="AI954" s="29"/>
      <c r="AJ954" s="29"/>
      <c r="AK954" s="29"/>
      <c r="AL954" s="29"/>
      <c r="AM954" s="29"/>
      <c r="AN954" s="29"/>
      <c r="AO954" s="29"/>
      <c r="AP954" s="29"/>
      <c r="AQ954" s="29"/>
      <c r="AR954" s="29"/>
      <c r="AS954" s="29"/>
      <c r="AT954" s="29"/>
      <c r="AU954" s="29"/>
      <c r="AV954" s="29"/>
      <c r="AW954" s="29"/>
      <c r="AX954" s="29"/>
      <c r="AY954" s="29"/>
      <c r="AZ954" s="29"/>
      <c r="BA954" s="29"/>
      <c r="BB954" s="29"/>
      <c r="BC954" s="29"/>
      <c r="BD954" s="29"/>
      <c r="BE954" s="29"/>
      <c r="BF954" s="29"/>
      <c r="BG954" s="29"/>
      <c r="BH954" s="29"/>
    </row>
    <row r="955" spans="1:60" ht="14.25" customHeight="1" x14ac:dyDescent="0.3">
      <c r="A955" s="28"/>
      <c r="B955" s="29"/>
      <c r="C955" s="30"/>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c r="AK955" s="29"/>
      <c r="AL955" s="29"/>
      <c r="AM955" s="29"/>
      <c r="AN955" s="29"/>
      <c r="AO955" s="29"/>
      <c r="AP955" s="29"/>
      <c r="AQ955" s="29"/>
      <c r="AR955" s="29"/>
      <c r="AS955" s="29"/>
      <c r="AT955" s="29"/>
      <c r="AU955" s="29"/>
      <c r="AV955" s="29"/>
      <c r="AW955" s="29"/>
      <c r="AX955" s="29"/>
      <c r="AY955" s="29"/>
      <c r="AZ955" s="29"/>
      <c r="BA955" s="29"/>
      <c r="BB955" s="29"/>
      <c r="BC955" s="29"/>
      <c r="BD955" s="29"/>
      <c r="BE955" s="29"/>
      <c r="BF955" s="29"/>
      <c r="BG955" s="29"/>
      <c r="BH955" s="29"/>
    </row>
    <row r="956" spans="1:60" ht="14.25" customHeight="1" x14ac:dyDescent="0.3">
      <c r="A956" s="28"/>
      <c r="B956" s="29"/>
      <c r="C956" s="30"/>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29"/>
      <c r="AI956" s="29"/>
      <c r="AJ956" s="29"/>
      <c r="AK956" s="29"/>
      <c r="AL956" s="29"/>
      <c r="AM956" s="29"/>
      <c r="AN956" s="29"/>
      <c r="AO956" s="29"/>
      <c r="AP956" s="29"/>
      <c r="AQ956" s="29"/>
      <c r="AR956" s="29"/>
      <c r="AS956" s="29"/>
      <c r="AT956" s="29"/>
      <c r="AU956" s="29"/>
      <c r="AV956" s="29"/>
      <c r="AW956" s="29"/>
      <c r="AX956" s="29"/>
      <c r="AY956" s="29"/>
      <c r="AZ956" s="29"/>
      <c r="BA956" s="29"/>
      <c r="BB956" s="29"/>
      <c r="BC956" s="29"/>
      <c r="BD956" s="29"/>
      <c r="BE956" s="29"/>
      <c r="BF956" s="29"/>
      <c r="BG956" s="29"/>
      <c r="BH956" s="29"/>
    </row>
    <row r="957" spans="1:60" ht="14.25" customHeight="1" x14ac:dyDescent="0.3">
      <c r="A957" s="28"/>
      <c r="B957" s="29"/>
      <c r="C957" s="30"/>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c r="AK957" s="29"/>
      <c r="AL957" s="29"/>
      <c r="AM957" s="29"/>
      <c r="AN957" s="29"/>
      <c r="AO957" s="29"/>
      <c r="AP957" s="29"/>
      <c r="AQ957" s="29"/>
      <c r="AR957" s="29"/>
      <c r="AS957" s="29"/>
      <c r="AT957" s="29"/>
      <c r="AU957" s="29"/>
      <c r="AV957" s="29"/>
      <c r="AW957" s="29"/>
      <c r="AX957" s="29"/>
      <c r="AY957" s="29"/>
      <c r="AZ957" s="29"/>
      <c r="BA957" s="29"/>
      <c r="BB957" s="29"/>
      <c r="BC957" s="29"/>
      <c r="BD957" s="29"/>
      <c r="BE957" s="29"/>
      <c r="BF957" s="29"/>
      <c r="BG957" s="29"/>
      <c r="BH957" s="29"/>
    </row>
    <row r="958" spans="1:60" ht="14.25" customHeight="1" x14ac:dyDescent="0.3">
      <c r="A958" s="28"/>
      <c r="B958" s="29"/>
      <c r="C958" s="30"/>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29"/>
      <c r="AI958" s="29"/>
      <c r="AJ958" s="29"/>
      <c r="AK958" s="29"/>
      <c r="AL958" s="29"/>
      <c r="AM958" s="29"/>
      <c r="AN958" s="29"/>
      <c r="AO958" s="29"/>
      <c r="AP958" s="29"/>
      <c r="AQ958" s="29"/>
      <c r="AR958" s="29"/>
      <c r="AS958" s="29"/>
      <c r="AT958" s="29"/>
      <c r="AU958" s="29"/>
      <c r="AV958" s="29"/>
      <c r="AW958" s="29"/>
      <c r="AX958" s="29"/>
      <c r="AY958" s="29"/>
      <c r="AZ958" s="29"/>
      <c r="BA958" s="29"/>
      <c r="BB958" s="29"/>
      <c r="BC958" s="29"/>
      <c r="BD958" s="29"/>
      <c r="BE958" s="29"/>
      <c r="BF958" s="29"/>
      <c r="BG958" s="29"/>
      <c r="BH958" s="29"/>
    </row>
    <row r="959" spans="1:60" ht="14.25" customHeight="1" x14ac:dyDescent="0.3">
      <c r="A959" s="28"/>
      <c r="B959" s="29"/>
      <c r="C959" s="30"/>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J959" s="29"/>
      <c r="AK959" s="29"/>
      <c r="AL959" s="29"/>
      <c r="AM959" s="29"/>
      <c r="AN959" s="29"/>
      <c r="AO959" s="29"/>
      <c r="AP959" s="29"/>
      <c r="AQ959" s="29"/>
      <c r="AR959" s="29"/>
      <c r="AS959" s="29"/>
      <c r="AT959" s="29"/>
      <c r="AU959" s="29"/>
      <c r="AV959" s="29"/>
      <c r="AW959" s="29"/>
      <c r="AX959" s="29"/>
      <c r="AY959" s="29"/>
      <c r="AZ959" s="29"/>
      <c r="BA959" s="29"/>
      <c r="BB959" s="29"/>
      <c r="BC959" s="29"/>
      <c r="BD959" s="29"/>
      <c r="BE959" s="29"/>
      <c r="BF959" s="29"/>
      <c r="BG959" s="29"/>
      <c r="BH959" s="29"/>
    </row>
    <row r="960" spans="1:60" ht="14.25" customHeight="1" x14ac:dyDescent="0.3">
      <c r="A960" s="28"/>
      <c r="B960" s="29"/>
      <c r="C960" s="30"/>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c r="AG960" s="29"/>
      <c r="AH960" s="29"/>
      <c r="AI960" s="29"/>
      <c r="AJ960" s="29"/>
      <c r="AK960" s="29"/>
      <c r="AL960" s="29"/>
      <c r="AM960" s="29"/>
      <c r="AN960" s="29"/>
      <c r="AO960" s="29"/>
      <c r="AP960" s="29"/>
      <c r="AQ960" s="29"/>
      <c r="AR960" s="29"/>
      <c r="AS960" s="29"/>
      <c r="AT960" s="29"/>
      <c r="AU960" s="29"/>
      <c r="AV960" s="29"/>
      <c r="AW960" s="29"/>
      <c r="AX960" s="29"/>
      <c r="AY960" s="29"/>
      <c r="AZ960" s="29"/>
      <c r="BA960" s="29"/>
      <c r="BB960" s="29"/>
      <c r="BC960" s="29"/>
      <c r="BD960" s="29"/>
      <c r="BE960" s="29"/>
      <c r="BF960" s="29"/>
      <c r="BG960" s="29"/>
      <c r="BH960" s="29"/>
    </row>
    <row r="961" spans="1:60" ht="14.25" customHeight="1" x14ac:dyDescent="0.3">
      <c r="A961" s="28"/>
      <c r="B961" s="29"/>
      <c r="C961" s="30"/>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J961" s="29"/>
      <c r="AK961" s="29"/>
      <c r="AL961" s="29"/>
      <c r="AM961" s="29"/>
      <c r="AN961" s="29"/>
      <c r="AO961" s="29"/>
      <c r="AP961" s="29"/>
      <c r="AQ961" s="29"/>
      <c r="AR961" s="29"/>
      <c r="AS961" s="29"/>
      <c r="AT961" s="29"/>
      <c r="AU961" s="29"/>
      <c r="AV961" s="29"/>
      <c r="AW961" s="29"/>
      <c r="AX961" s="29"/>
      <c r="AY961" s="29"/>
      <c r="AZ961" s="29"/>
      <c r="BA961" s="29"/>
      <c r="BB961" s="29"/>
      <c r="BC961" s="29"/>
      <c r="BD961" s="29"/>
      <c r="BE961" s="29"/>
      <c r="BF961" s="29"/>
      <c r="BG961" s="29"/>
      <c r="BH961" s="29"/>
    </row>
    <row r="962" spans="1:60" ht="14.25" customHeight="1" x14ac:dyDescent="0.3">
      <c r="A962" s="28"/>
      <c r="B962" s="29"/>
      <c r="C962" s="30"/>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c r="AG962" s="29"/>
      <c r="AH962" s="29"/>
      <c r="AI962" s="29"/>
      <c r="AJ962" s="29"/>
      <c r="AK962" s="29"/>
      <c r="AL962" s="29"/>
      <c r="AM962" s="29"/>
      <c r="AN962" s="29"/>
      <c r="AO962" s="29"/>
      <c r="AP962" s="29"/>
      <c r="AQ962" s="29"/>
      <c r="AR962" s="29"/>
      <c r="AS962" s="29"/>
      <c r="AT962" s="29"/>
      <c r="AU962" s="29"/>
      <c r="AV962" s="29"/>
      <c r="AW962" s="29"/>
      <c r="AX962" s="29"/>
      <c r="AY962" s="29"/>
      <c r="AZ962" s="29"/>
      <c r="BA962" s="29"/>
      <c r="BB962" s="29"/>
      <c r="BC962" s="29"/>
      <c r="BD962" s="29"/>
      <c r="BE962" s="29"/>
      <c r="BF962" s="29"/>
      <c r="BG962" s="29"/>
      <c r="BH962" s="29"/>
    </row>
    <row r="963" spans="1:60" ht="14.25" customHeight="1" x14ac:dyDescent="0.3">
      <c r="A963" s="28"/>
      <c r="B963" s="29"/>
      <c r="C963" s="30"/>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J963" s="29"/>
      <c r="AK963" s="29"/>
      <c r="AL963" s="29"/>
      <c r="AM963" s="29"/>
      <c r="AN963" s="29"/>
      <c r="AO963" s="29"/>
      <c r="AP963" s="29"/>
      <c r="AQ963" s="29"/>
      <c r="AR963" s="29"/>
      <c r="AS963" s="29"/>
      <c r="AT963" s="29"/>
      <c r="AU963" s="29"/>
      <c r="AV963" s="29"/>
      <c r="AW963" s="29"/>
      <c r="AX963" s="29"/>
      <c r="AY963" s="29"/>
      <c r="AZ963" s="29"/>
      <c r="BA963" s="29"/>
      <c r="BB963" s="29"/>
      <c r="BC963" s="29"/>
      <c r="BD963" s="29"/>
      <c r="BE963" s="29"/>
      <c r="BF963" s="29"/>
      <c r="BG963" s="29"/>
      <c r="BH963" s="29"/>
    </row>
    <row r="964" spans="1:60" ht="14.25" customHeight="1" x14ac:dyDescent="0.3">
      <c r="A964" s="28"/>
      <c r="B964" s="29"/>
      <c r="C964" s="30"/>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c r="AG964" s="29"/>
      <c r="AH964" s="29"/>
      <c r="AI964" s="29"/>
      <c r="AJ964" s="29"/>
      <c r="AK964" s="29"/>
      <c r="AL964" s="29"/>
      <c r="AM964" s="29"/>
      <c r="AN964" s="29"/>
      <c r="AO964" s="29"/>
      <c r="AP964" s="29"/>
      <c r="AQ964" s="29"/>
      <c r="AR964" s="29"/>
      <c r="AS964" s="29"/>
      <c r="AT964" s="29"/>
      <c r="AU964" s="29"/>
      <c r="AV964" s="29"/>
      <c r="AW964" s="29"/>
      <c r="AX964" s="29"/>
      <c r="AY964" s="29"/>
      <c r="AZ964" s="29"/>
      <c r="BA964" s="29"/>
      <c r="BB964" s="29"/>
      <c r="BC964" s="29"/>
      <c r="BD964" s="29"/>
      <c r="BE964" s="29"/>
      <c r="BF964" s="29"/>
      <c r="BG964" s="29"/>
      <c r="BH964" s="29"/>
    </row>
    <row r="965" spans="1:60" ht="14.25" customHeight="1" x14ac:dyDescent="0.3">
      <c r="A965" s="28"/>
      <c r="B965" s="29"/>
      <c r="C965" s="30"/>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c r="AJ965" s="29"/>
      <c r="AK965" s="29"/>
      <c r="AL965" s="29"/>
      <c r="AM965" s="29"/>
      <c r="AN965" s="29"/>
      <c r="AO965" s="29"/>
      <c r="AP965" s="29"/>
      <c r="AQ965" s="29"/>
      <c r="AR965" s="29"/>
      <c r="AS965" s="29"/>
      <c r="AT965" s="29"/>
      <c r="AU965" s="29"/>
      <c r="AV965" s="29"/>
      <c r="AW965" s="29"/>
      <c r="AX965" s="29"/>
      <c r="AY965" s="29"/>
      <c r="AZ965" s="29"/>
      <c r="BA965" s="29"/>
      <c r="BB965" s="29"/>
      <c r="BC965" s="29"/>
      <c r="BD965" s="29"/>
      <c r="BE965" s="29"/>
      <c r="BF965" s="29"/>
      <c r="BG965" s="29"/>
      <c r="BH965" s="29"/>
    </row>
    <row r="966" spans="1:60" ht="14.25" customHeight="1" x14ac:dyDescent="0.3">
      <c r="A966" s="28"/>
      <c r="B966" s="29"/>
      <c r="C966" s="30"/>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c r="AG966" s="29"/>
      <c r="AH966" s="29"/>
      <c r="AI966" s="29"/>
      <c r="AJ966" s="29"/>
      <c r="AK966" s="29"/>
      <c r="AL966" s="29"/>
      <c r="AM966" s="29"/>
      <c r="AN966" s="29"/>
      <c r="AO966" s="29"/>
      <c r="AP966" s="29"/>
      <c r="AQ966" s="29"/>
      <c r="AR966" s="29"/>
      <c r="AS966" s="29"/>
      <c r="AT966" s="29"/>
      <c r="AU966" s="29"/>
      <c r="AV966" s="29"/>
      <c r="AW966" s="29"/>
      <c r="AX966" s="29"/>
      <c r="AY966" s="29"/>
      <c r="AZ966" s="29"/>
      <c r="BA966" s="29"/>
      <c r="BB966" s="29"/>
      <c r="BC966" s="29"/>
      <c r="BD966" s="29"/>
      <c r="BE966" s="29"/>
      <c r="BF966" s="29"/>
      <c r="BG966" s="29"/>
      <c r="BH966" s="29"/>
    </row>
    <row r="967" spans="1:60" ht="14.25" customHeight="1" x14ac:dyDescent="0.3">
      <c r="A967" s="28"/>
      <c r="B967" s="29"/>
      <c r="C967" s="30"/>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J967" s="29"/>
      <c r="AK967" s="29"/>
      <c r="AL967" s="29"/>
      <c r="AM967" s="29"/>
      <c r="AN967" s="29"/>
      <c r="AO967" s="29"/>
      <c r="AP967" s="29"/>
      <c r="AQ967" s="29"/>
      <c r="AR967" s="29"/>
      <c r="AS967" s="29"/>
      <c r="AT967" s="29"/>
      <c r="AU967" s="29"/>
      <c r="AV967" s="29"/>
      <c r="AW967" s="29"/>
      <c r="AX967" s="29"/>
      <c r="AY967" s="29"/>
      <c r="AZ967" s="29"/>
      <c r="BA967" s="29"/>
      <c r="BB967" s="29"/>
      <c r="BC967" s="29"/>
      <c r="BD967" s="29"/>
      <c r="BE967" s="29"/>
      <c r="BF967" s="29"/>
      <c r="BG967" s="29"/>
      <c r="BH967" s="29"/>
    </row>
    <row r="968" spans="1:60" ht="14.25" customHeight="1" x14ac:dyDescent="0.3">
      <c r="A968" s="28"/>
      <c r="B968" s="29"/>
      <c r="C968" s="30"/>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c r="AG968" s="29"/>
      <c r="AH968" s="29"/>
      <c r="AI968" s="29"/>
      <c r="AJ968" s="29"/>
      <c r="AK968" s="29"/>
      <c r="AL968" s="29"/>
      <c r="AM968" s="29"/>
      <c r="AN968" s="29"/>
      <c r="AO968" s="29"/>
      <c r="AP968" s="29"/>
      <c r="AQ968" s="29"/>
      <c r="AR968" s="29"/>
      <c r="AS968" s="29"/>
      <c r="AT968" s="29"/>
      <c r="AU968" s="29"/>
      <c r="AV968" s="29"/>
      <c r="AW968" s="29"/>
      <c r="AX968" s="29"/>
      <c r="AY968" s="29"/>
      <c r="AZ968" s="29"/>
      <c r="BA968" s="29"/>
      <c r="BB968" s="29"/>
      <c r="BC968" s="29"/>
      <c r="BD968" s="29"/>
      <c r="BE968" s="29"/>
      <c r="BF968" s="29"/>
      <c r="BG968" s="29"/>
      <c r="BH968" s="29"/>
    </row>
    <row r="969" spans="1:60" ht="14.25" customHeight="1" x14ac:dyDescent="0.3">
      <c r="A969" s="28"/>
      <c r="B969" s="29"/>
      <c r="C969" s="30"/>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J969" s="29"/>
      <c r="AK969" s="29"/>
      <c r="AL969" s="29"/>
      <c r="AM969" s="29"/>
      <c r="AN969" s="29"/>
      <c r="AO969" s="29"/>
      <c r="AP969" s="29"/>
      <c r="AQ969" s="29"/>
      <c r="AR969" s="29"/>
      <c r="AS969" s="29"/>
      <c r="AT969" s="29"/>
      <c r="AU969" s="29"/>
      <c r="AV969" s="29"/>
      <c r="AW969" s="29"/>
      <c r="AX969" s="29"/>
      <c r="AY969" s="29"/>
      <c r="AZ969" s="29"/>
      <c r="BA969" s="29"/>
      <c r="BB969" s="29"/>
      <c r="BC969" s="29"/>
      <c r="BD969" s="29"/>
      <c r="BE969" s="29"/>
      <c r="BF969" s="29"/>
      <c r="BG969" s="29"/>
      <c r="BH969" s="29"/>
    </row>
    <row r="970" spans="1:60" ht="14.25" customHeight="1" x14ac:dyDescent="0.3">
      <c r="A970" s="28"/>
      <c r="B970" s="29"/>
      <c r="C970" s="30"/>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c r="AG970" s="29"/>
      <c r="AH970" s="29"/>
      <c r="AI970" s="29"/>
      <c r="AJ970" s="29"/>
      <c r="AK970" s="29"/>
      <c r="AL970" s="29"/>
      <c r="AM970" s="29"/>
      <c r="AN970" s="29"/>
      <c r="AO970" s="29"/>
      <c r="AP970" s="29"/>
      <c r="AQ970" s="29"/>
      <c r="AR970" s="29"/>
      <c r="AS970" s="29"/>
      <c r="AT970" s="29"/>
      <c r="AU970" s="29"/>
      <c r="AV970" s="29"/>
      <c r="AW970" s="29"/>
      <c r="AX970" s="29"/>
      <c r="AY970" s="29"/>
      <c r="AZ970" s="29"/>
      <c r="BA970" s="29"/>
      <c r="BB970" s="29"/>
      <c r="BC970" s="29"/>
      <c r="BD970" s="29"/>
      <c r="BE970" s="29"/>
      <c r="BF970" s="29"/>
      <c r="BG970" s="29"/>
      <c r="BH970" s="29"/>
    </row>
    <row r="971" spans="1:60" ht="14.25" customHeight="1" x14ac:dyDescent="0.3">
      <c r="A971" s="28"/>
      <c r="B971" s="29"/>
      <c r="C971" s="30"/>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J971" s="29"/>
      <c r="AK971" s="29"/>
      <c r="AL971" s="29"/>
      <c r="AM971" s="29"/>
      <c r="AN971" s="29"/>
      <c r="AO971" s="29"/>
      <c r="AP971" s="29"/>
      <c r="AQ971" s="29"/>
      <c r="AR971" s="29"/>
      <c r="AS971" s="29"/>
      <c r="AT971" s="29"/>
      <c r="AU971" s="29"/>
      <c r="AV971" s="29"/>
      <c r="AW971" s="29"/>
      <c r="AX971" s="29"/>
      <c r="AY971" s="29"/>
      <c r="AZ971" s="29"/>
      <c r="BA971" s="29"/>
      <c r="BB971" s="29"/>
      <c r="BC971" s="29"/>
      <c r="BD971" s="29"/>
      <c r="BE971" s="29"/>
      <c r="BF971" s="29"/>
      <c r="BG971" s="29"/>
      <c r="BH971" s="29"/>
    </row>
    <row r="972" spans="1:60" ht="14.25" customHeight="1" x14ac:dyDescent="0.3">
      <c r="A972" s="28"/>
      <c r="B972" s="29"/>
      <c r="C972" s="30"/>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c r="AG972" s="29"/>
      <c r="AH972" s="29"/>
      <c r="AI972" s="29"/>
      <c r="AJ972" s="29"/>
      <c r="AK972" s="29"/>
      <c r="AL972" s="29"/>
      <c r="AM972" s="29"/>
      <c r="AN972" s="29"/>
      <c r="AO972" s="29"/>
      <c r="AP972" s="29"/>
      <c r="AQ972" s="29"/>
      <c r="AR972" s="29"/>
      <c r="AS972" s="29"/>
      <c r="AT972" s="29"/>
      <c r="AU972" s="29"/>
      <c r="AV972" s="29"/>
      <c r="AW972" s="29"/>
      <c r="AX972" s="29"/>
      <c r="AY972" s="29"/>
      <c r="AZ972" s="29"/>
      <c r="BA972" s="29"/>
      <c r="BB972" s="29"/>
      <c r="BC972" s="29"/>
      <c r="BD972" s="29"/>
      <c r="BE972" s="29"/>
      <c r="BF972" s="29"/>
      <c r="BG972" s="29"/>
      <c r="BH972" s="29"/>
    </row>
    <row r="973" spans="1:60" ht="14.25" customHeight="1" x14ac:dyDescent="0.3">
      <c r="A973" s="28"/>
      <c r="B973" s="29"/>
      <c r="C973" s="30"/>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J973" s="29"/>
      <c r="AK973" s="29"/>
      <c r="AL973" s="29"/>
      <c r="AM973" s="29"/>
      <c r="AN973" s="29"/>
      <c r="AO973" s="29"/>
      <c r="AP973" s="29"/>
      <c r="AQ973" s="29"/>
      <c r="AR973" s="29"/>
      <c r="AS973" s="29"/>
      <c r="AT973" s="29"/>
      <c r="AU973" s="29"/>
      <c r="AV973" s="29"/>
      <c r="AW973" s="29"/>
      <c r="AX973" s="29"/>
      <c r="AY973" s="29"/>
      <c r="AZ973" s="29"/>
      <c r="BA973" s="29"/>
      <c r="BB973" s="29"/>
      <c r="BC973" s="29"/>
      <c r="BD973" s="29"/>
      <c r="BE973" s="29"/>
      <c r="BF973" s="29"/>
      <c r="BG973" s="29"/>
      <c r="BH973" s="29"/>
    </row>
    <row r="974" spans="1:60" ht="14.25" customHeight="1" x14ac:dyDescent="0.3">
      <c r="A974" s="28"/>
      <c r="B974" s="29"/>
      <c r="C974" s="30"/>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c r="AG974" s="29"/>
      <c r="AH974" s="29"/>
      <c r="AI974" s="29"/>
      <c r="AJ974" s="29"/>
      <c r="AK974" s="29"/>
      <c r="AL974" s="29"/>
      <c r="AM974" s="29"/>
      <c r="AN974" s="29"/>
      <c r="AO974" s="29"/>
      <c r="AP974" s="29"/>
      <c r="AQ974" s="29"/>
      <c r="AR974" s="29"/>
      <c r="AS974" s="29"/>
      <c r="AT974" s="29"/>
      <c r="AU974" s="29"/>
      <c r="AV974" s="29"/>
      <c r="AW974" s="29"/>
      <c r="AX974" s="29"/>
      <c r="AY974" s="29"/>
      <c r="AZ974" s="29"/>
      <c r="BA974" s="29"/>
      <c r="BB974" s="29"/>
      <c r="BC974" s="29"/>
      <c r="BD974" s="29"/>
      <c r="BE974" s="29"/>
      <c r="BF974" s="29"/>
      <c r="BG974" s="29"/>
      <c r="BH974" s="29"/>
    </row>
    <row r="975" spans="1:60" ht="14.25" customHeight="1" x14ac:dyDescent="0.3">
      <c r="A975" s="28"/>
      <c r="B975" s="29"/>
      <c r="C975" s="30"/>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J975" s="29"/>
      <c r="AK975" s="29"/>
      <c r="AL975" s="29"/>
      <c r="AM975" s="29"/>
      <c r="AN975" s="29"/>
      <c r="AO975" s="29"/>
      <c r="AP975" s="29"/>
      <c r="AQ975" s="29"/>
      <c r="AR975" s="29"/>
      <c r="AS975" s="29"/>
      <c r="AT975" s="29"/>
      <c r="AU975" s="29"/>
      <c r="AV975" s="29"/>
      <c r="AW975" s="29"/>
      <c r="AX975" s="29"/>
      <c r="AY975" s="29"/>
      <c r="AZ975" s="29"/>
      <c r="BA975" s="29"/>
      <c r="BB975" s="29"/>
      <c r="BC975" s="29"/>
      <c r="BD975" s="29"/>
      <c r="BE975" s="29"/>
      <c r="BF975" s="29"/>
      <c r="BG975" s="29"/>
      <c r="BH975" s="29"/>
    </row>
    <row r="976" spans="1:60" ht="14.25" customHeight="1" x14ac:dyDescent="0.3">
      <c r="A976" s="28"/>
      <c r="B976" s="29"/>
      <c r="C976" s="30"/>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c r="AJ976" s="29"/>
      <c r="AK976" s="29"/>
      <c r="AL976" s="29"/>
      <c r="AM976" s="29"/>
      <c r="AN976" s="29"/>
      <c r="AO976" s="29"/>
      <c r="AP976" s="29"/>
      <c r="AQ976" s="29"/>
      <c r="AR976" s="29"/>
      <c r="AS976" s="29"/>
      <c r="AT976" s="29"/>
      <c r="AU976" s="29"/>
      <c r="AV976" s="29"/>
      <c r="AW976" s="29"/>
      <c r="AX976" s="29"/>
      <c r="AY976" s="29"/>
      <c r="AZ976" s="29"/>
      <c r="BA976" s="29"/>
      <c r="BB976" s="29"/>
      <c r="BC976" s="29"/>
      <c r="BD976" s="29"/>
      <c r="BE976" s="29"/>
      <c r="BF976" s="29"/>
      <c r="BG976" s="29"/>
      <c r="BH976" s="29"/>
    </row>
    <row r="977" spans="1:60" ht="14.25" customHeight="1" x14ac:dyDescent="0.3">
      <c r="A977" s="28"/>
      <c r="B977" s="29"/>
      <c r="C977" s="30"/>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c r="AK977" s="29"/>
      <c r="AL977" s="29"/>
      <c r="AM977" s="29"/>
      <c r="AN977" s="29"/>
      <c r="AO977" s="29"/>
      <c r="AP977" s="29"/>
      <c r="AQ977" s="29"/>
      <c r="AR977" s="29"/>
      <c r="AS977" s="29"/>
      <c r="AT977" s="29"/>
      <c r="AU977" s="29"/>
      <c r="AV977" s="29"/>
      <c r="AW977" s="29"/>
      <c r="AX977" s="29"/>
      <c r="AY977" s="29"/>
      <c r="AZ977" s="29"/>
      <c r="BA977" s="29"/>
      <c r="BB977" s="29"/>
      <c r="BC977" s="29"/>
      <c r="BD977" s="29"/>
      <c r="BE977" s="29"/>
      <c r="BF977" s="29"/>
      <c r="BG977" s="29"/>
      <c r="BH977" s="29"/>
    </row>
    <row r="978" spans="1:60" ht="14.25" customHeight="1" x14ac:dyDescent="0.3">
      <c r="A978" s="28"/>
      <c r="B978" s="29"/>
      <c r="C978" s="30"/>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c r="AJ978" s="29"/>
      <c r="AK978" s="29"/>
      <c r="AL978" s="29"/>
      <c r="AM978" s="29"/>
      <c r="AN978" s="29"/>
      <c r="AO978" s="29"/>
      <c r="AP978" s="29"/>
      <c r="AQ978" s="29"/>
      <c r="AR978" s="29"/>
      <c r="AS978" s="29"/>
      <c r="AT978" s="29"/>
      <c r="AU978" s="29"/>
      <c r="AV978" s="29"/>
      <c r="AW978" s="29"/>
      <c r="AX978" s="29"/>
      <c r="AY978" s="29"/>
      <c r="AZ978" s="29"/>
      <c r="BA978" s="29"/>
      <c r="BB978" s="29"/>
      <c r="BC978" s="29"/>
      <c r="BD978" s="29"/>
      <c r="BE978" s="29"/>
      <c r="BF978" s="29"/>
      <c r="BG978" s="29"/>
      <c r="BH978" s="29"/>
    </row>
    <row r="979" spans="1:60" ht="14.25" customHeight="1" x14ac:dyDescent="0.3">
      <c r="A979" s="28"/>
      <c r="B979" s="29"/>
      <c r="C979" s="30"/>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c r="AN979" s="29"/>
      <c r="AO979" s="29"/>
      <c r="AP979" s="29"/>
      <c r="AQ979" s="29"/>
      <c r="AR979" s="29"/>
      <c r="AS979" s="29"/>
      <c r="AT979" s="29"/>
      <c r="AU979" s="29"/>
      <c r="AV979" s="29"/>
      <c r="AW979" s="29"/>
      <c r="AX979" s="29"/>
      <c r="AY979" s="29"/>
      <c r="AZ979" s="29"/>
      <c r="BA979" s="29"/>
      <c r="BB979" s="29"/>
      <c r="BC979" s="29"/>
      <c r="BD979" s="29"/>
      <c r="BE979" s="29"/>
      <c r="BF979" s="29"/>
      <c r="BG979" s="29"/>
      <c r="BH979" s="29"/>
    </row>
    <row r="980" spans="1:60" ht="14.25" customHeight="1" x14ac:dyDescent="0.3">
      <c r="A980" s="28"/>
      <c r="B980" s="29"/>
      <c r="C980" s="30"/>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c r="AJ980" s="29"/>
      <c r="AK980" s="29"/>
      <c r="AL980" s="29"/>
      <c r="AM980" s="29"/>
      <c r="AN980" s="29"/>
      <c r="AO980" s="29"/>
      <c r="AP980" s="29"/>
      <c r="AQ980" s="29"/>
      <c r="AR980" s="29"/>
      <c r="AS980" s="29"/>
      <c r="AT980" s="29"/>
      <c r="AU980" s="29"/>
      <c r="AV980" s="29"/>
      <c r="AW980" s="29"/>
      <c r="AX980" s="29"/>
      <c r="AY980" s="29"/>
      <c r="AZ980" s="29"/>
      <c r="BA980" s="29"/>
      <c r="BB980" s="29"/>
      <c r="BC980" s="29"/>
      <c r="BD980" s="29"/>
      <c r="BE980" s="29"/>
      <c r="BF980" s="29"/>
      <c r="BG980" s="29"/>
      <c r="BH980" s="29"/>
    </row>
    <row r="981" spans="1:60" ht="14.25" customHeight="1" x14ac:dyDescent="0.3">
      <c r="A981" s="28"/>
      <c r="B981" s="29"/>
      <c r="C981" s="30"/>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c r="AN981" s="29"/>
      <c r="AO981" s="29"/>
      <c r="AP981" s="29"/>
      <c r="AQ981" s="29"/>
      <c r="AR981" s="29"/>
      <c r="AS981" s="29"/>
      <c r="AT981" s="29"/>
      <c r="AU981" s="29"/>
      <c r="AV981" s="29"/>
      <c r="AW981" s="29"/>
      <c r="AX981" s="29"/>
      <c r="AY981" s="29"/>
      <c r="AZ981" s="29"/>
      <c r="BA981" s="29"/>
      <c r="BB981" s="29"/>
      <c r="BC981" s="29"/>
      <c r="BD981" s="29"/>
      <c r="BE981" s="29"/>
      <c r="BF981" s="29"/>
      <c r="BG981" s="29"/>
      <c r="BH981" s="29"/>
    </row>
    <row r="982" spans="1:60" ht="14.25" customHeight="1" x14ac:dyDescent="0.3">
      <c r="A982" s="28"/>
      <c r="B982" s="29"/>
      <c r="C982" s="30"/>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29"/>
      <c r="AI982" s="29"/>
      <c r="AJ982" s="29"/>
      <c r="AK982" s="29"/>
      <c r="AL982" s="29"/>
      <c r="AM982" s="29"/>
      <c r="AN982" s="29"/>
      <c r="AO982" s="29"/>
      <c r="AP982" s="29"/>
      <c r="AQ982" s="29"/>
      <c r="AR982" s="29"/>
      <c r="AS982" s="29"/>
      <c r="AT982" s="29"/>
      <c r="AU982" s="29"/>
      <c r="AV982" s="29"/>
      <c r="AW982" s="29"/>
      <c r="AX982" s="29"/>
      <c r="AY982" s="29"/>
      <c r="AZ982" s="29"/>
      <c r="BA982" s="29"/>
      <c r="BB982" s="29"/>
      <c r="BC982" s="29"/>
      <c r="BD982" s="29"/>
      <c r="BE982" s="29"/>
      <c r="BF982" s="29"/>
      <c r="BG982" s="29"/>
      <c r="BH982" s="29"/>
    </row>
    <row r="983" spans="1:60" ht="14.25" customHeight="1" x14ac:dyDescent="0.3">
      <c r="A983" s="28"/>
      <c r="B983" s="29"/>
      <c r="C983" s="30"/>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c r="AK983" s="29"/>
      <c r="AL983" s="29"/>
      <c r="AM983" s="29"/>
      <c r="AN983" s="29"/>
      <c r="AO983" s="29"/>
      <c r="AP983" s="29"/>
      <c r="AQ983" s="29"/>
      <c r="AR983" s="29"/>
      <c r="AS983" s="29"/>
      <c r="AT983" s="29"/>
      <c r="AU983" s="29"/>
      <c r="AV983" s="29"/>
      <c r="AW983" s="29"/>
      <c r="AX983" s="29"/>
      <c r="AY983" s="29"/>
      <c r="AZ983" s="29"/>
      <c r="BA983" s="29"/>
      <c r="BB983" s="29"/>
      <c r="BC983" s="29"/>
      <c r="BD983" s="29"/>
      <c r="BE983" s="29"/>
      <c r="BF983" s="29"/>
      <c r="BG983" s="29"/>
      <c r="BH983" s="29"/>
    </row>
    <row r="984" spans="1:60" ht="14.25" customHeight="1" x14ac:dyDescent="0.3">
      <c r="A984" s="28"/>
      <c r="B984" s="29"/>
      <c r="C984" s="30"/>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c r="AG984" s="29"/>
      <c r="AH984" s="29"/>
      <c r="AI984" s="29"/>
      <c r="AJ984" s="29"/>
      <c r="AK984" s="29"/>
      <c r="AL984" s="29"/>
      <c r="AM984" s="29"/>
      <c r="AN984" s="29"/>
      <c r="AO984" s="29"/>
      <c r="AP984" s="29"/>
      <c r="AQ984" s="29"/>
      <c r="AR984" s="29"/>
      <c r="AS984" s="29"/>
      <c r="AT984" s="29"/>
      <c r="AU984" s="29"/>
      <c r="AV984" s="29"/>
      <c r="AW984" s="29"/>
      <c r="AX984" s="29"/>
      <c r="AY984" s="29"/>
      <c r="AZ984" s="29"/>
      <c r="BA984" s="29"/>
      <c r="BB984" s="29"/>
      <c r="BC984" s="29"/>
      <c r="BD984" s="29"/>
      <c r="BE984" s="29"/>
      <c r="BF984" s="29"/>
      <c r="BG984" s="29"/>
      <c r="BH984" s="29"/>
    </row>
    <row r="985" spans="1:60" ht="14.25" customHeight="1" x14ac:dyDescent="0.3">
      <c r="A985" s="28"/>
      <c r="B985" s="29"/>
      <c r="C985" s="30"/>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J985" s="29"/>
      <c r="AK985" s="29"/>
      <c r="AL985" s="29"/>
      <c r="AM985" s="29"/>
      <c r="AN985" s="29"/>
      <c r="AO985" s="29"/>
      <c r="AP985" s="29"/>
      <c r="AQ985" s="29"/>
      <c r="AR985" s="29"/>
      <c r="AS985" s="29"/>
      <c r="AT985" s="29"/>
      <c r="AU985" s="29"/>
      <c r="AV985" s="29"/>
      <c r="AW985" s="29"/>
      <c r="AX985" s="29"/>
      <c r="AY985" s="29"/>
      <c r="AZ985" s="29"/>
      <c r="BA985" s="29"/>
      <c r="BB985" s="29"/>
      <c r="BC985" s="29"/>
      <c r="BD985" s="29"/>
      <c r="BE985" s="29"/>
      <c r="BF985" s="29"/>
      <c r="BG985" s="29"/>
      <c r="BH985" s="29"/>
    </row>
    <row r="986" spans="1:60" ht="14.25" customHeight="1" x14ac:dyDescent="0.3">
      <c r="A986" s="28"/>
      <c r="B986" s="29"/>
      <c r="C986" s="30"/>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c r="AG986" s="29"/>
      <c r="AH986" s="29"/>
      <c r="AI986" s="29"/>
      <c r="AJ986" s="29"/>
      <c r="AK986" s="29"/>
      <c r="AL986" s="29"/>
      <c r="AM986" s="29"/>
      <c r="AN986" s="29"/>
      <c r="AO986" s="29"/>
      <c r="AP986" s="29"/>
      <c r="AQ986" s="29"/>
      <c r="AR986" s="29"/>
      <c r="AS986" s="29"/>
      <c r="AT986" s="29"/>
      <c r="AU986" s="29"/>
      <c r="AV986" s="29"/>
      <c r="AW986" s="29"/>
      <c r="AX986" s="29"/>
      <c r="AY986" s="29"/>
      <c r="AZ986" s="29"/>
      <c r="BA986" s="29"/>
      <c r="BB986" s="29"/>
      <c r="BC986" s="29"/>
      <c r="BD986" s="29"/>
      <c r="BE986" s="29"/>
      <c r="BF986" s="29"/>
      <c r="BG986" s="29"/>
      <c r="BH986" s="29"/>
    </row>
    <row r="987" spans="1:60" ht="14.25" customHeight="1" x14ac:dyDescent="0.3">
      <c r="A987" s="28"/>
      <c r="B987" s="29"/>
      <c r="C987" s="30"/>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J987" s="29"/>
      <c r="AK987" s="29"/>
      <c r="AL987" s="29"/>
      <c r="AM987" s="29"/>
      <c r="AN987" s="29"/>
      <c r="AO987" s="29"/>
      <c r="AP987" s="29"/>
      <c r="AQ987" s="29"/>
      <c r="AR987" s="29"/>
      <c r="AS987" s="29"/>
      <c r="AT987" s="29"/>
      <c r="AU987" s="29"/>
      <c r="AV987" s="29"/>
      <c r="AW987" s="29"/>
      <c r="AX987" s="29"/>
      <c r="AY987" s="29"/>
      <c r="AZ987" s="29"/>
      <c r="BA987" s="29"/>
      <c r="BB987" s="29"/>
      <c r="BC987" s="29"/>
      <c r="BD987" s="29"/>
      <c r="BE987" s="29"/>
      <c r="BF987" s="29"/>
      <c r="BG987" s="29"/>
      <c r="BH987" s="29"/>
    </row>
    <row r="988" spans="1:60" ht="14.25" customHeight="1" x14ac:dyDescent="0.3">
      <c r="A988" s="28"/>
      <c r="B988" s="29"/>
      <c r="C988" s="30"/>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c r="AG988" s="29"/>
      <c r="AH988" s="29"/>
      <c r="AI988" s="29"/>
      <c r="AJ988" s="29"/>
      <c r="AK988" s="29"/>
      <c r="AL988" s="29"/>
      <c r="AM988" s="29"/>
      <c r="AN988" s="29"/>
      <c r="AO988" s="29"/>
      <c r="AP988" s="29"/>
      <c r="AQ988" s="29"/>
      <c r="AR988" s="29"/>
      <c r="AS988" s="29"/>
      <c r="AT988" s="29"/>
      <c r="AU988" s="29"/>
      <c r="AV988" s="29"/>
      <c r="AW988" s="29"/>
      <c r="AX988" s="29"/>
      <c r="AY988" s="29"/>
      <c r="AZ988" s="29"/>
      <c r="BA988" s="29"/>
      <c r="BB988" s="29"/>
      <c r="BC988" s="29"/>
      <c r="BD988" s="29"/>
      <c r="BE988" s="29"/>
      <c r="BF988" s="29"/>
      <c r="BG988" s="29"/>
      <c r="BH988" s="29"/>
    </row>
    <row r="989" spans="1:60" ht="14.25" customHeight="1" x14ac:dyDescent="0.3">
      <c r="A989" s="28"/>
      <c r="B989" s="29"/>
      <c r="C989" s="30"/>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c r="AK989" s="29"/>
      <c r="AL989" s="29"/>
      <c r="AM989" s="29"/>
      <c r="AN989" s="29"/>
      <c r="AO989" s="29"/>
      <c r="AP989" s="29"/>
      <c r="AQ989" s="29"/>
      <c r="AR989" s="29"/>
      <c r="AS989" s="29"/>
      <c r="AT989" s="29"/>
      <c r="AU989" s="29"/>
      <c r="AV989" s="29"/>
      <c r="AW989" s="29"/>
      <c r="AX989" s="29"/>
      <c r="AY989" s="29"/>
      <c r="AZ989" s="29"/>
      <c r="BA989" s="29"/>
      <c r="BB989" s="29"/>
      <c r="BC989" s="29"/>
      <c r="BD989" s="29"/>
      <c r="BE989" s="29"/>
      <c r="BF989" s="29"/>
      <c r="BG989" s="29"/>
      <c r="BH989" s="29"/>
    </row>
    <row r="990" spans="1:60" ht="14.25" customHeight="1" x14ac:dyDescent="0.3">
      <c r="A990" s="28"/>
      <c r="B990" s="29"/>
      <c r="C990" s="30"/>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c r="AG990" s="29"/>
      <c r="AH990" s="29"/>
      <c r="AI990" s="29"/>
      <c r="AJ990" s="29"/>
      <c r="AK990" s="29"/>
      <c r="AL990" s="29"/>
      <c r="AM990" s="29"/>
      <c r="AN990" s="29"/>
      <c r="AO990" s="29"/>
      <c r="AP990" s="29"/>
      <c r="AQ990" s="29"/>
      <c r="AR990" s="29"/>
      <c r="AS990" s="29"/>
      <c r="AT990" s="29"/>
      <c r="AU990" s="29"/>
      <c r="AV990" s="29"/>
      <c r="AW990" s="29"/>
      <c r="AX990" s="29"/>
      <c r="AY990" s="29"/>
      <c r="AZ990" s="29"/>
      <c r="BA990" s="29"/>
      <c r="BB990" s="29"/>
      <c r="BC990" s="29"/>
      <c r="BD990" s="29"/>
      <c r="BE990" s="29"/>
      <c r="BF990" s="29"/>
      <c r="BG990" s="29"/>
      <c r="BH990" s="29"/>
    </row>
    <row r="991" spans="1:60" ht="14.25" customHeight="1" x14ac:dyDescent="0.3">
      <c r="A991" s="28"/>
      <c r="B991" s="29"/>
      <c r="C991" s="30"/>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c r="AK991" s="29"/>
      <c r="AL991" s="29"/>
      <c r="AM991" s="29"/>
      <c r="AN991" s="29"/>
      <c r="AO991" s="29"/>
      <c r="AP991" s="29"/>
      <c r="AQ991" s="29"/>
      <c r="AR991" s="29"/>
      <c r="AS991" s="29"/>
      <c r="AT991" s="29"/>
      <c r="AU991" s="29"/>
      <c r="AV991" s="29"/>
      <c r="AW991" s="29"/>
      <c r="AX991" s="29"/>
      <c r="AY991" s="29"/>
      <c r="AZ991" s="29"/>
      <c r="BA991" s="29"/>
      <c r="BB991" s="29"/>
      <c r="BC991" s="29"/>
      <c r="BD991" s="29"/>
      <c r="BE991" s="29"/>
      <c r="BF991" s="29"/>
      <c r="BG991" s="29"/>
      <c r="BH991" s="29"/>
    </row>
    <row r="992" spans="1:60" ht="14.25" customHeight="1" x14ac:dyDescent="0.3">
      <c r="A992" s="28"/>
      <c r="B992" s="29"/>
      <c r="C992" s="30"/>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c r="AG992" s="29"/>
      <c r="AH992" s="29"/>
      <c r="AI992" s="29"/>
      <c r="AJ992" s="29"/>
      <c r="AK992" s="29"/>
      <c r="AL992" s="29"/>
      <c r="AM992" s="29"/>
      <c r="AN992" s="29"/>
      <c r="AO992" s="29"/>
      <c r="AP992" s="29"/>
      <c r="AQ992" s="29"/>
      <c r="AR992" s="29"/>
      <c r="AS992" s="29"/>
      <c r="AT992" s="29"/>
      <c r="AU992" s="29"/>
      <c r="AV992" s="29"/>
      <c r="AW992" s="29"/>
      <c r="AX992" s="29"/>
      <c r="AY992" s="29"/>
      <c r="AZ992" s="29"/>
      <c r="BA992" s="29"/>
      <c r="BB992" s="29"/>
      <c r="BC992" s="29"/>
      <c r="BD992" s="29"/>
      <c r="BE992" s="29"/>
      <c r="BF992" s="29"/>
      <c r="BG992" s="29"/>
      <c r="BH992" s="29"/>
    </row>
    <row r="993" spans="1:60" ht="14.25" customHeight="1" x14ac:dyDescent="0.3">
      <c r="A993" s="28"/>
      <c r="B993" s="29"/>
      <c r="C993" s="30"/>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c r="AK993" s="29"/>
      <c r="AL993" s="29"/>
      <c r="AM993" s="29"/>
      <c r="AN993" s="29"/>
      <c r="AO993" s="29"/>
      <c r="AP993" s="29"/>
      <c r="AQ993" s="29"/>
      <c r="AR993" s="29"/>
      <c r="AS993" s="29"/>
      <c r="AT993" s="29"/>
      <c r="AU993" s="29"/>
      <c r="AV993" s="29"/>
      <c r="AW993" s="29"/>
      <c r="AX993" s="29"/>
      <c r="AY993" s="29"/>
      <c r="AZ993" s="29"/>
      <c r="BA993" s="29"/>
      <c r="BB993" s="29"/>
      <c r="BC993" s="29"/>
      <c r="BD993" s="29"/>
      <c r="BE993" s="29"/>
      <c r="BF993" s="29"/>
      <c r="BG993" s="29"/>
      <c r="BH993" s="29"/>
    </row>
    <row r="994" spans="1:60" ht="14.25" customHeight="1" x14ac:dyDescent="0.3">
      <c r="A994" s="28"/>
      <c r="B994" s="29"/>
      <c r="C994" s="30"/>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c r="AG994" s="29"/>
      <c r="AH994" s="29"/>
      <c r="AI994" s="29"/>
      <c r="AJ994" s="29"/>
      <c r="AK994" s="29"/>
      <c r="AL994" s="29"/>
      <c r="AM994" s="29"/>
      <c r="AN994" s="29"/>
      <c r="AO994" s="29"/>
      <c r="AP994" s="29"/>
      <c r="AQ994" s="29"/>
      <c r="AR994" s="29"/>
      <c r="AS994" s="29"/>
      <c r="AT994" s="29"/>
      <c r="AU994" s="29"/>
      <c r="AV994" s="29"/>
      <c r="AW994" s="29"/>
      <c r="AX994" s="29"/>
      <c r="AY994" s="29"/>
      <c r="AZ994" s="29"/>
      <c r="BA994" s="29"/>
      <c r="BB994" s="29"/>
      <c r="BC994" s="29"/>
      <c r="BD994" s="29"/>
      <c r="BE994" s="29"/>
      <c r="BF994" s="29"/>
      <c r="BG994" s="29"/>
      <c r="BH994" s="29"/>
    </row>
    <row r="995" spans="1:60" ht="14.25" customHeight="1" x14ac:dyDescent="0.3">
      <c r="A995" s="28"/>
      <c r="B995" s="29"/>
      <c r="C995" s="30"/>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c r="AG995" s="29"/>
      <c r="AH995" s="29"/>
      <c r="AI995" s="29"/>
      <c r="AJ995" s="29"/>
      <c r="AK995" s="29"/>
      <c r="AL995" s="29"/>
      <c r="AM995" s="29"/>
      <c r="AN995" s="29"/>
      <c r="AO995" s="29"/>
      <c r="AP995" s="29"/>
      <c r="AQ995" s="29"/>
      <c r="AR995" s="29"/>
      <c r="AS995" s="29"/>
      <c r="AT995" s="29"/>
      <c r="AU995" s="29"/>
      <c r="AV995" s="29"/>
      <c r="AW995" s="29"/>
      <c r="AX995" s="29"/>
      <c r="AY995" s="29"/>
      <c r="AZ995" s="29"/>
      <c r="BA995" s="29"/>
      <c r="BB995" s="29"/>
      <c r="BC995" s="29"/>
      <c r="BD995" s="29"/>
      <c r="BE995" s="29"/>
      <c r="BF995" s="29"/>
      <c r="BG995" s="29"/>
      <c r="BH995" s="29"/>
    </row>
    <row r="996" spans="1:60" ht="14.25" customHeight="1" x14ac:dyDescent="0.3">
      <c r="A996" s="28"/>
      <c r="B996" s="29"/>
      <c r="C996" s="30"/>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c r="AG996" s="29"/>
      <c r="AH996" s="29"/>
      <c r="AI996" s="29"/>
      <c r="AJ996" s="29"/>
      <c r="AK996" s="29"/>
      <c r="AL996" s="29"/>
      <c r="AM996" s="29"/>
      <c r="AN996" s="29"/>
      <c r="AO996" s="29"/>
      <c r="AP996" s="29"/>
      <c r="AQ996" s="29"/>
      <c r="AR996" s="29"/>
      <c r="AS996" s="29"/>
      <c r="AT996" s="29"/>
      <c r="AU996" s="29"/>
      <c r="AV996" s="29"/>
      <c r="AW996" s="29"/>
      <c r="AX996" s="29"/>
      <c r="AY996" s="29"/>
      <c r="AZ996" s="29"/>
      <c r="BA996" s="29"/>
      <c r="BB996" s="29"/>
      <c r="BC996" s="29"/>
      <c r="BD996" s="29"/>
      <c r="BE996" s="29"/>
      <c r="BF996" s="29"/>
      <c r="BG996" s="29"/>
      <c r="BH996" s="29"/>
    </row>
    <row r="997" spans="1:60" ht="14.25" customHeight="1" x14ac:dyDescent="0.3">
      <c r="A997" s="28"/>
      <c r="B997" s="29"/>
      <c r="C997" s="30"/>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J997" s="29"/>
      <c r="AK997" s="29"/>
      <c r="AL997" s="29"/>
      <c r="AM997" s="29"/>
      <c r="AN997" s="29"/>
      <c r="AO997" s="29"/>
      <c r="AP997" s="29"/>
      <c r="AQ997" s="29"/>
      <c r="AR997" s="29"/>
      <c r="AS997" s="29"/>
      <c r="AT997" s="29"/>
      <c r="AU997" s="29"/>
      <c r="AV997" s="29"/>
      <c r="AW997" s="29"/>
      <c r="AX997" s="29"/>
      <c r="AY997" s="29"/>
      <c r="AZ997" s="29"/>
      <c r="BA997" s="29"/>
      <c r="BB997" s="29"/>
      <c r="BC997" s="29"/>
      <c r="BD997" s="29"/>
      <c r="BE997" s="29"/>
      <c r="BF997" s="29"/>
      <c r="BG997" s="29"/>
      <c r="BH997" s="29"/>
    </row>
    <row r="998" spans="1:60" ht="14.25" customHeight="1" x14ac:dyDescent="0.3">
      <c r="A998" s="28"/>
      <c r="B998" s="29"/>
      <c r="C998" s="30"/>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c r="AG998" s="29"/>
      <c r="AH998" s="29"/>
      <c r="AI998" s="29"/>
      <c r="AJ998" s="29"/>
      <c r="AK998" s="29"/>
      <c r="AL998" s="29"/>
      <c r="AM998" s="29"/>
      <c r="AN998" s="29"/>
      <c r="AO998" s="29"/>
      <c r="AP998" s="29"/>
      <c r="AQ998" s="29"/>
      <c r="AR998" s="29"/>
      <c r="AS998" s="29"/>
      <c r="AT998" s="29"/>
      <c r="AU998" s="29"/>
      <c r="AV998" s="29"/>
      <c r="AW998" s="29"/>
      <c r="AX998" s="29"/>
      <c r="AY998" s="29"/>
      <c r="AZ998" s="29"/>
      <c r="BA998" s="29"/>
      <c r="BB998" s="29"/>
      <c r="BC998" s="29"/>
      <c r="BD998" s="29"/>
      <c r="BE998" s="29"/>
      <c r="BF998" s="29"/>
      <c r="BG998" s="29"/>
      <c r="BH998" s="29"/>
    </row>
    <row r="999" spans="1:60" ht="14.25" customHeight="1" x14ac:dyDescent="0.3">
      <c r="A999" s="28"/>
      <c r="B999" s="29"/>
      <c r="C999" s="30"/>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c r="AG999" s="29"/>
      <c r="AH999" s="29"/>
      <c r="AI999" s="29"/>
      <c r="AJ999" s="29"/>
      <c r="AK999" s="29"/>
      <c r="AL999" s="29"/>
      <c r="AM999" s="29"/>
      <c r="AN999" s="29"/>
      <c r="AO999" s="29"/>
      <c r="AP999" s="29"/>
      <c r="AQ999" s="29"/>
      <c r="AR999" s="29"/>
      <c r="AS999" s="29"/>
      <c r="AT999" s="29"/>
      <c r="AU999" s="29"/>
      <c r="AV999" s="29"/>
      <c r="AW999" s="29"/>
      <c r="AX999" s="29"/>
      <c r="AY999" s="29"/>
      <c r="AZ999" s="29"/>
      <c r="BA999" s="29"/>
      <c r="BB999" s="29"/>
      <c r="BC999" s="29"/>
      <c r="BD999" s="29"/>
      <c r="BE999" s="29"/>
      <c r="BF999" s="29"/>
      <c r="BG999" s="29"/>
      <c r="BH999" s="29"/>
    </row>
  </sheetData>
  <hyperlinks>
    <hyperlink ref="G2" r:id="rId1"/>
    <hyperlink ref="AB2" r:id="rId2"/>
    <hyperlink ref="AI2" r:id="rId3"/>
    <hyperlink ref="AJ2" r:id="rId4"/>
    <hyperlink ref="AL2" r:id="rId5"/>
    <hyperlink ref="G3" r:id="rId6"/>
    <hyperlink ref="AB3" r:id="rId7"/>
    <hyperlink ref="G4" r:id="rId8"/>
    <hyperlink ref="AI4" r:id="rId9"/>
    <hyperlink ref="G5" r:id="rId10"/>
    <hyperlink ref="AI5" r:id="rId11"/>
    <hyperlink ref="G6" r:id="rId12"/>
    <hyperlink ref="G7" r:id="rId13"/>
    <hyperlink ref="G8" r:id="rId14"/>
    <hyperlink ref="AI8" r:id="rId15"/>
    <hyperlink ref="AJ8" r:id="rId16"/>
    <hyperlink ref="AL8" r:id="rId17"/>
    <hyperlink ref="G9" r:id="rId18"/>
    <hyperlink ref="AI9" r:id="rId19"/>
    <hyperlink ref="AJ9" r:id="rId20"/>
    <hyperlink ref="G10" r:id="rId21"/>
    <hyperlink ref="AB10" r:id="rId22"/>
    <hyperlink ref="AI10" r:id="rId23"/>
    <hyperlink ref="G11" r:id="rId24"/>
    <hyperlink ref="BF11" r:id="rId25"/>
    <hyperlink ref="G12" r:id="rId26"/>
    <hyperlink ref="G13" r:id="rId27"/>
    <hyperlink ref="G14" r:id="rId28"/>
    <hyperlink ref="AI14" r:id="rId29"/>
    <hyperlink ref="G15" r:id="rId30"/>
    <hyperlink ref="BF15" r:id="rId31"/>
    <hyperlink ref="G16" r:id="rId32"/>
    <hyperlink ref="AB16" r:id="rId33"/>
    <hyperlink ref="BF16" r:id="rId34"/>
    <hyperlink ref="G17" r:id="rId35"/>
    <hyperlink ref="G18" r:id="rId36"/>
    <hyperlink ref="G19" r:id="rId37"/>
    <hyperlink ref="BF19" r:id="rId38"/>
    <hyperlink ref="G20" r:id="rId39"/>
    <hyperlink ref="G21" r:id="rId40"/>
    <hyperlink ref="BF21" r:id="rId41"/>
    <hyperlink ref="G22" r:id="rId42"/>
    <hyperlink ref="AB22" r:id="rId43"/>
    <hyperlink ref="AK22" r:id="rId44"/>
    <hyperlink ref="G23" r:id="rId45"/>
    <hyperlink ref="BF23" r:id="rId46"/>
    <hyperlink ref="G24" r:id="rId47"/>
    <hyperlink ref="AJ24" r:id="rId48"/>
    <hyperlink ref="BF24" r:id="rId49"/>
    <hyperlink ref="G25" r:id="rId50"/>
    <hyperlink ref="AB25" r:id="rId51"/>
    <hyperlink ref="AI25" r:id="rId52"/>
    <hyperlink ref="AK25" r:id="rId53"/>
    <hyperlink ref="BF25" r:id="rId54"/>
    <hyperlink ref="G26" r:id="rId55"/>
    <hyperlink ref="AJ26" r:id="rId56"/>
    <hyperlink ref="G27" r:id="rId57"/>
    <hyperlink ref="AB27" r:id="rId58"/>
    <hyperlink ref="G28" r:id="rId59"/>
    <hyperlink ref="G29" r:id="rId60"/>
    <hyperlink ref="AB29" r:id="rId61"/>
    <hyperlink ref="G30" r:id="rId62"/>
    <hyperlink ref="G31" r:id="rId63"/>
    <hyperlink ref="AB31" r:id="rId64"/>
    <hyperlink ref="AK31" r:id="rId65"/>
    <hyperlink ref="G32" r:id="rId66"/>
    <hyperlink ref="AB32" r:id="rId67"/>
    <hyperlink ref="G33" r:id="rId68"/>
    <hyperlink ref="AB33" r:id="rId69"/>
    <hyperlink ref="AK33" r:id="rId70"/>
    <hyperlink ref="G34" r:id="rId71"/>
    <hyperlink ref="AB34" r:id="rId72"/>
    <hyperlink ref="AK34" r:id="rId73"/>
    <hyperlink ref="G35" r:id="rId74"/>
    <hyperlink ref="AI35" r:id="rId75"/>
    <hyperlink ref="AJ35" r:id="rId76"/>
    <hyperlink ref="BF35" r:id="rId77"/>
    <hyperlink ref="G36" r:id="rId78"/>
    <hyperlink ref="G37" r:id="rId79"/>
    <hyperlink ref="BF37" r:id="rId80"/>
    <hyperlink ref="G38" r:id="rId81"/>
    <hyperlink ref="AI38" r:id="rId82"/>
    <hyperlink ref="AJ38" r:id="rId83"/>
    <hyperlink ref="BF38" r:id="rId84"/>
    <hyperlink ref="G39" r:id="rId85"/>
    <hyperlink ref="BF39" r:id="rId86"/>
    <hyperlink ref="G40" r:id="rId87"/>
    <hyperlink ref="AB40" r:id="rId88"/>
    <hyperlink ref="BF40" r:id="rId89"/>
    <hyperlink ref="G41" r:id="rId90"/>
    <hyperlink ref="BF41" r:id="rId91"/>
    <hyperlink ref="G42" r:id="rId92"/>
    <hyperlink ref="G43" r:id="rId93"/>
    <hyperlink ref="BF43" r:id="rId94"/>
    <hyperlink ref="G44" r:id="rId95"/>
    <hyperlink ref="AB44" r:id="rId96"/>
    <hyperlink ref="AI44" r:id="rId97"/>
    <hyperlink ref="AJ44" r:id="rId98"/>
    <hyperlink ref="AK44" r:id="rId99"/>
    <hyperlink ref="G45" r:id="rId100"/>
    <hyperlink ref="AI45" r:id="rId101"/>
    <hyperlink ref="G46" r:id="rId102"/>
    <hyperlink ref="G47" r:id="rId103"/>
    <hyperlink ref="G48" r:id="rId104"/>
    <hyperlink ref="G49" r:id="rId105"/>
    <hyperlink ref="AB49" r:id="rId106"/>
    <hyperlink ref="AI49" r:id="rId107"/>
    <hyperlink ref="AJ49" r:id="rId108"/>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99"/>
  <sheetViews>
    <sheetView workbookViewId="0">
      <pane ySplit="1" topLeftCell="A2" activePane="bottomLeft" state="frozen"/>
      <selection pane="bottomLeft" activeCell="B3" sqref="B3"/>
    </sheetView>
  </sheetViews>
  <sheetFormatPr defaultColWidth="14.44140625" defaultRowHeight="15" customHeight="1" x14ac:dyDescent="0.3"/>
  <cols>
    <col min="1" max="1" width="50.44140625" customWidth="1"/>
    <col min="2" max="2" width="40.88671875" customWidth="1"/>
    <col min="3" max="3" width="10.6640625" customWidth="1"/>
    <col min="4" max="4" width="18.44140625" customWidth="1"/>
    <col min="5" max="5" width="13.6640625" customWidth="1"/>
    <col min="6" max="6" width="8" customWidth="1"/>
    <col min="7" max="7" width="7" customWidth="1"/>
    <col min="8" max="8" width="15.88671875" customWidth="1"/>
    <col min="9" max="9" width="95" customWidth="1"/>
    <col min="10" max="25" width="8.6640625" customWidth="1"/>
  </cols>
  <sheetData>
    <row r="1" spans="1:25" ht="14.25" customHeight="1" x14ac:dyDescent="0.3">
      <c r="A1" s="1" t="s">
        <v>0</v>
      </c>
      <c r="B1" s="2" t="s">
        <v>518</v>
      </c>
      <c r="C1" s="2" t="s">
        <v>519</v>
      </c>
      <c r="D1" s="2" t="s">
        <v>520</v>
      </c>
      <c r="E1" s="2" t="s">
        <v>521</v>
      </c>
      <c r="F1" s="2" t="s">
        <v>522</v>
      </c>
      <c r="G1" s="2" t="s">
        <v>523</v>
      </c>
      <c r="H1" s="2" t="s">
        <v>524</v>
      </c>
      <c r="I1" s="3" t="s">
        <v>525</v>
      </c>
      <c r="J1" s="29"/>
      <c r="K1" s="29"/>
      <c r="L1" s="29"/>
      <c r="M1" s="29"/>
      <c r="N1" s="29"/>
      <c r="O1" s="29"/>
      <c r="P1" s="29"/>
      <c r="Q1" s="29"/>
      <c r="R1" s="29"/>
      <c r="S1" s="29"/>
      <c r="T1" s="29"/>
      <c r="U1" s="29"/>
      <c r="V1" s="29"/>
      <c r="W1" s="29"/>
      <c r="X1" s="29"/>
      <c r="Y1" s="29"/>
    </row>
    <row r="2" spans="1:25" ht="14.25" customHeight="1" x14ac:dyDescent="0.3">
      <c r="A2" s="6" t="s">
        <v>58</v>
      </c>
      <c r="B2" s="7" t="s">
        <v>526</v>
      </c>
      <c r="C2" s="7" t="s">
        <v>68</v>
      </c>
      <c r="D2" s="7" t="s">
        <v>68</v>
      </c>
      <c r="E2" s="7" t="s">
        <v>68</v>
      </c>
      <c r="F2" s="7" t="s">
        <v>68</v>
      </c>
      <c r="G2" s="7" t="s">
        <v>68</v>
      </c>
      <c r="H2" s="7" t="s">
        <v>69</v>
      </c>
      <c r="I2" s="11" t="s">
        <v>527</v>
      </c>
      <c r="J2" s="29"/>
      <c r="K2" s="29"/>
      <c r="L2" s="29"/>
      <c r="M2" s="29"/>
      <c r="N2" s="29"/>
      <c r="O2" s="29"/>
      <c r="P2" s="29"/>
      <c r="Q2" s="29"/>
      <c r="R2" s="29"/>
      <c r="S2" s="29"/>
      <c r="T2" s="29"/>
      <c r="U2" s="29"/>
      <c r="V2" s="29"/>
      <c r="W2" s="29"/>
      <c r="X2" s="29"/>
      <c r="Y2" s="29"/>
    </row>
    <row r="3" spans="1:25" ht="14.25" customHeight="1" x14ac:dyDescent="0.3">
      <c r="A3" s="14" t="s">
        <v>83</v>
      </c>
      <c r="B3" s="15" t="s">
        <v>528</v>
      </c>
      <c r="C3" s="15" t="s">
        <v>68</v>
      </c>
      <c r="D3" s="15" t="s">
        <v>68</v>
      </c>
      <c r="E3" s="15" t="s">
        <v>68</v>
      </c>
      <c r="F3" s="15" t="s">
        <v>68</v>
      </c>
      <c r="G3" s="15" t="s">
        <v>68</v>
      </c>
      <c r="H3" s="15" t="s">
        <v>69</v>
      </c>
      <c r="I3" s="18" t="s">
        <v>527</v>
      </c>
      <c r="J3" s="29"/>
      <c r="K3" s="29"/>
      <c r="L3" s="29"/>
      <c r="M3" s="29"/>
      <c r="N3" s="29"/>
      <c r="O3" s="29"/>
      <c r="P3" s="29"/>
      <c r="Q3" s="29"/>
      <c r="R3" s="29"/>
      <c r="S3" s="29"/>
      <c r="T3" s="29"/>
      <c r="U3" s="29"/>
      <c r="V3" s="29"/>
      <c r="W3" s="29"/>
      <c r="X3" s="29"/>
      <c r="Y3" s="29"/>
    </row>
    <row r="4" spans="1:25" ht="14.25" customHeight="1" x14ac:dyDescent="0.3">
      <c r="A4" s="6" t="s">
        <v>99</v>
      </c>
      <c r="B4" s="7" t="s">
        <v>526</v>
      </c>
      <c r="C4" s="7" t="s">
        <v>68</v>
      </c>
      <c r="D4" s="7" t="s">
        <v>68</v>
      </c>
      <c r="E4" s="7" t="s">
        <v>68</v>
      </c>
      <c r="F4" s="7" t="s">
        <v>68</v>
      </c>
      <c r="G4" s="7" t="s">
        <v>68</v>
      </c>
      <c r="H4" s="7" t="s">
        <v>69</v>
      </c>
      <c r="I4" s="11" t="s">
        <v>527</v>
      </c>
      <c r="J4" s="29"/>
      <c r="K4" s="29"/>
      <c r="L4" s="29"/>
      <c r="M4" s="29"/>
      <c r="N4" s="29"/>
      <c r="O4" s="29"/>
      <c r="P4" s="29"/>
      <c r="Q4" s="29"/>
      <c r="R4" s="29"/>
      <c r="S4" s="29"/>
      <c r="T4" s="29"/>
      <c r="U4" s="29"/>
      <c r="V4" s="29"/>
      <c r="W4" s="29"/>
      <c r="X4" s="29"/>
      <c r="Y4" s="29"/>
    </row>
    <row r="5" spans="1:25" ht="14.25" customHeight="1" x14ac:dyDescent="0.3">
      <c r="A5" s="14" t="s">
        <v>110</v>
      </c>
      <c r="B5" s="15" t="s">
        <v>528</v>
      </c>
      <c r="C5" s="15" t="s">
        <v>68</v>
      </c>
      <c r="D5" s="15" t="s">
        <v>68</v>
      </c>
      <c r="E5" s="15" t="s">
        <v>68</v>
      </c>
      <c r="F5" s="15" t="s">
        <v>68</v>
      </c>
      <c r="G5" s="15" t="s">
        <v>68</v>
      </c>
      <c r="H5" s="15" t="s">
        <v>69</v>
      </c>
      <c r="I5" s="18" t="s">
        <v>527</v>
      </c>
      <c r="J5" s="29"/>
      <c r="K5" s="29"/>
      <c r="L5" s="29"/>
      <c r="M5" s="29"/>
      <c r="N5" s="29"/>
      <c r="O5" s="29"/>
      <c r="P5" s="29"/>
      <c r="Q5" s="29"/>
      <c r="R5" s="29"/>
      <c r="S5" s="29"/>
      <c r="T5" s="29"/>
      <c r="U5" s="29"/>
      <c r="V5" s="29"/>
      <c r="W5" s="29"/>
      <c r="X5" s="29"/>
      <c r="Y5" s="29"/>
    </row>
    <row r="6" spans="1:25" ht="14.25" customHeight="1" x14ac:dyDescent="0.3">
      <c r="A6" s="6" t="s">
        <v>121</v>
      </c>
      <c r="B6" s="7" t="s">
        <v>529</v>
      </c>
      <c r="C6" s="7" t="s">
        <v>68</v>
      </c>
      <c r="D6" s="7" t="s">
        <v>68</v>
      </c>
      <c r="E6" s="7" t="s">
        <v>68</v>
      </c>
      <c r="F6" s="7" t="s">
        <v>68</v>
      </c>
      <c r="G6" s="7" t="s">
        <v>68</v>
      </c>
      <c r="H6" s="7" t="s">
        <v>69</v>
      </c>
      <c r="I6" s="11" t="s">
        <v>530</v>
      </c>
      <c r="J6" s="29"/>
      <c r="K6" s="29"/>
      <c r="L6" s="29"/>
      <c r="M6" s="29"/>
      <c r="N6" s="29"/>
      <c r="O6" s="29"/>
      <c r="P6" s="29"/>
      <c r="Q6" s="29"/>
      <c r="R6" s="29"/>
      <c r="S6" s="29"/>
      <c r="T6" s="29"/>
      <c r="U6" s="29"/>
      <c r="V6" s="29"/>
      <c r="W6" s="29"/>
      <c r="X6" s="29"/>
      <c r="Y6" s="29"/>
    </row>
    <row r="7" spans="1:25" ht="14.25" customHeight="1" x14ac:dyDescent="0.3">
      <c r="A7" s="14" t="s">
        <v>132</v>
      </c>
      <c r="B7" s="15" t="s">
        <v>526</v>
      </c>
      <c r="C7" s="15" t="s">
        <v>68</v>
      </c>
      <c r="D7" s="15" t="s">
        <v>68</v>
      </c>
      <c r="E7" s="15" t="s">
        <v>68</v>
      </c>
      <c r="F7" s="15" t="s">
        <v>68</v>
      </c>
      <c r="G7" s="15" t="s">
        <v>68</v>
      </c>
      <c r="H7" s="15" t="s">
        <v>69</v>
      </c>
      <c r="I7" s="18" t="s">
        <v>527</v>
      </c>
      <c r="J7" s="29"/>
      <c r="K7" s="29"/>
      <c r="L7" s="29"/>
      <c r="M7" s="29"/>
      <c r="N7" s="29"/>
      <c r="O7" s="29"/>
      <c r="P7" s="29"/>
      <c r="Q7" s="29"/>
      <c r="R7" s="29"/>
      <c r="S7" s="29"/>
      <c r="T7" s="29"/>
      <c r="U7" s="29"/>
      <c r="V7" s="29"/>
      <c r="W7" s="29"/>
      <c r="X7" s="29"/>
      <c r="Y7" s="29"/>
    </row>
    <row r="8" spans="1:25" ht="14.25" customHeight="1" x14ac:dyDescent="0.3">
      <c r="A8" s="6" t="s">
        <v>140</v>
      </c>
      <c r="B8" s="7" t="s">
        <v>531</v>
      </c>
      <c r="C8" s="7" t="s">
        <v>68</v>
      </c>
      <c r="D8" s="7" t="s">
        <v>68</v>
      </c>
      <c r="E8" s="7" t="s">
        <v>68</v>
      </c>
      <c r="F8" s="7" t="s">
        <v>68</v>
      </c>
      <c r="G8" s="7" t="s">
        <v>68</v>
      </c>
      <c r="H8" s="7" t="s">
        <v>69</v>
      </c>
      <c r="I8" s="11" t="s">
        <v>532</v>
      </c>
      <c r="J8" s="29"/>
      <c r="K8" s="29"/>
      <c r="L8" s="29"/>
      <c r="M8" s="29"/>
      <c r="N8" s="29"/>
      <c r="O8" s="29"/>
      <c r="P8" s="29"/>
      <c r="Q8" s="29"/>
      <c r="R8" s="29"/>
      <c r="S8" s="29"/>
      <c r="T8" s="29"/>
      <c r="U8" s="29"/>
      <c r="V8" s="29"/>
      <c r="W8" s="29"/>
      <c r="X8" s="29"/>
      <c r="Y8" s="29"/>
    </row>
    <row r="9" spans="1:25" ht="14.25" customHeight="1" x14ac:dyDescent="0.3">
      <c r="A9" s="14" t="s">
        <v>159</v>
      </c>
      <c r="B9" s="15" t="s">
        <v>531</v>
      </c>
      <c r="C9" s="15" t="s">
        <v>68</v>
      </c>
      <c r="D9" s="15" t="s">
        <v>68</v>
      </c>
      <c r="E9" s="15" t="s">
        <v>68</v>
      </c>
      <c r="F9" s="15" t="s">
        <v>68</v>
      </c>
      <c r="G9" s="15" t="s">
        <v>68</v>
      </c>
      <c r="H9" s="15" t="s">
        <v>69</v>
      </c>
      <c r="I9" s="18" t="s">
        <v>532</v>
      </c>
      <c r="J9" s="29"/>
      <c r="K9" s="29"/>
      <c r="L9" s="29"/>
      <c r="M9" s="29"/>
      <c r="N9" s="29"/>
      <c r="O9" s="29"/>
      <c r="P9" s="29"/>
      <c r="Q9" s="29"/>
      <c r="R9" s="29"/>
      <c r="S9" s="29"/>
      <c r="T9" s="29"/>
      <c r="U9" s="29"/>
      <c r="V9" s="29"/>
      <c r="W9" s="29"/>
      <c r="X9" s="29"/>
      <c r="Y9" s="29"/>
    </row>
    <row r="10" spans="1:25" ht="14.25" customHeight="1" x14ac:dyDescent="0.3">
      <c r="A10" s="6" t="s">
        <v>171</v>
      </c>
      <c r="B10" s="7" t="s">
        <v>533</v>
      </c>
      <c r="C10" s="7" t="s">
        <v>68</v>
      </c>
      <c r="D10" s="7" t="s">
        <v>68</v>
      </c>
      <c r="E10" s="7" t="s">
        <v>68</v>
      </c>
      <c r="F10" s="7" t="s">
        <v>68</v>
      </c>
      <c r="G10" s="7" t="s">
        <v>68</v>
      </c>
      <c r="H10" s="7" t="s">
        <v>69</v>
      </c>
      <c r="I10" s="11" t="s">
        <v>534</v>
      </c>
      <c r="J10" s="29"/>
      <c r="K10" s="29"/>
      <c r="L10" s="29"/>
      <c r="M10" s="29"/>
      <c r="N10" s="29"/>
      <c r="O10" s="29"/>
      <c r="P10" s="29"/>
      <c r="Q10" s="29"/>
      <c r="R10" s="29"/>
      <c r="S10" s="29"/>
      <c r="T10" s="29"/>
      <c r="U10" s="29"/>
      <c r="V10" s="29"/>
      <c r="W10" s="29"/>
      <c r="X10" s="29"/>
      <c r="Y10" s="29"/>
    </row>
    <row r="11" spans="1:25" ht="14.25" customHeight="1" x14ac:dyDescent="0.3">
      <c r="A11" s="14" t="s">
        <v>186</v>
      </c>
      <c r="B11" s="15" t="s">
        <v>528</v>
      </c>
      <c r="C11" s="15" t="s">
        <v>68</v>
      </c>
      <c r="D11" s="15" t="s">
        <v>68</v>
      </c>
      <c r="E11" s="15" t="s">
        <v>68</v>
      </c>
      <c r="F11" s="15" t="s">
        <v>68</v>
      </c>
      <c r="G11" s="15" t="s">
        <v>68</v>
      </c>
      <c r="H11" s="15" t="s">
        <v>69</v>
      </c>
      <c r="I11" s="18" t="s">
        <v>535</v>
      </c>
      <c r="J11" s="29"/>
      <c r="K11" s="29"/>
      <c r="L11" s="29"/>
      <c r="M11" s="29"/>
      <c r="N11" s="29"/>
      <c r="O11" s="29"/>
      <c r="P11" s="29"/>
      <c r="Q11" s="29"/>
      <c r="R11" s="29"/>
      <c r="S11" s="29"/>
      <c r="T11" s="29"/>
      <c r="U11" s="29"/>
      <c r="V11" s="29"/>
      <c r="W11" s="29"/>
      <c r="X11" s="29"/>
      <c r="Y11" s="29"/>
    </row>
    <row r="12" spans="1:25" ht="14.25" customHeight="1" x14ac:dyDescent="0.3">
      <c r="A12" s="6" t="s">
        <v>536</v>
      </c>
      <c r="B12" s="7" t="s">
        <v>526</v>
      </c>
      <c r="C12" s="7" t="s">
        <v>68</v>
      </c>
      <c r="D12" s="7" t="s">
        <v>68</v>
      </c>
      <c r="E12" s="7" t="s">
        <v>68</v>
      </c>
      <c r="F12" s="7" t="s">
        <v>537</v>
      </c>
      <c r="G12" s="7" t="s">
        <v>68</v>
      </c>
      <c r="H12" s="7" t="s">
        <v>69</v>
      </c>
      <c r="I12" s="11" t="s">
        <v>538</v>
      </c>
      <c r="J12" s="29"/>
      <c r="K12" s="29"/>
      <c r="L12" s="29"/>
      <c r="M12" s="29"/>
      <c r="N12" s="29"/>
      <c r="O12" s="29"/>
      <c r="P12" s="29"/>
      <c r="Q12" s="29"/>
      <c r="R12" s="29"/>
      <c r="S12" s="29"/>
      <c r="T12" s="29"/>
      <c r="U12" s="29"/>
      <c r="V12" s="29"/>
      <c r="W12" s="29"/>
      <c r="X12" s="29"/>
      <c r="Y12" s="29"/>
    </row>
    <row r="13" spans="1:25" ht="14.25" customHeight="1" x14ac:dyDescent="0.3">
      <c r="A13" s="14" t="s">
        <v>202</v>
      </c>
      <c r="B13" s="15" t="s">
        <v>539</v>
      </c>
      <c r="C13" s="15" t="s">
        <v>68</v>
      </c>
      <c r="D13" s="15" t="s">
        <v>68</v>
      </c>
      <c r="E13" s="15" t="s">
        <v>68</v>
      </c>
      <c r="F13" s="15" t="s">
        <v>68</v>
      </c>
      <c r="G13" s="15" t="s">
        <v>68</v>
      </c>
      <c r="H13" s="15" t="s">
        <v>69</v>
      </c>
      <c r="I13" s="18" t="s">
        <v>540</v>
      </c>
      <c r="J13" s="29"/>
      <c r="K13" s="29"/>
      <c r="L13" s="29"/>
      <c r="M13" s="29"/>
      <c r="N13" s="29"/>
      <c r="O13" s="29"/>
      <c r="P13" s="29"/>
      <c r="Q13" s="29"/>
      <c r="R13" s="29"/>
      <c r="S13" s="29"/>
      <c r="T13" s="29"/>
      <c r="U13" s="29"/>
      <c r="V13" s="29"/>
      <c r="W13" s="29"/>
      <c r="X13" s="29"/>
      <c r="Y13" s="29"/>
    </row>
    <row r="14" spans="1:25" ht="14.25" customHeight="1" x14ac:dyDescent="0.3">
      <c r="A14" s="6" t="s">
        <v>214</v>
      </c>
      <c r="B14" s="7" t="s">
        <v>526</v>
      </c>
      <c r="C14" s="7" t="s">
        <v>68</v>
      </c>
      <c r="D14" s="7" t="s">
        <v>68</v>
      </c>
      <c r="E14" s="7" t="s">
        <v>68</v>
      </c>
      <c r="F14" s="7" t="s">
        <v>68</v>
      </c>
      <c r="G14" s="7" t="s">
        <v>68</v>
      </c>
      <c r="H14" s="7" t="s">
        <v>69</v>
      </c>
      <c r="I14" s="11" t="s">
        <v>527</v>
      </c>
      <c r="J14" s="29"/>
      <c r="K14" s="29"/>
      <c r="L14" s="29"/>
      <c r="M14" s="29"/>
      <c r="N14" s="29"/>
      <c r="O14" s="29"/>
      <c r="P14" s="29"/>
      <c r="Q14" s="29"/>
      <c r="R14" s="29"/>
      <c r="S14" s="29"/>
      <c r="T14" s="29"/>
      <c r="U14" s="29"/>
      <c r="V14" s="29"/>
      <c r="W14" s="29"/>
      <c r="X14" s="29"/>
      <c r="Y14" s="29"/>
    </row>
    <row r="15" spans="1:25" ht="14.25" customHeight="1" x14ac:dyDescent="0.3">
      <c r="A15" s="14" t="s">
        <v>227</v>
      </c>
      <c r="B15" s="15" t="s">
        <v>528</v>
      </c>
      <c r="C15" s="15" t="s">
        <v>68</v>
      </c>
      <c r="D15" s="15" t="s">
        <v>68</v>
      </c>
      <c r="E15" s="15" t="s">
        <v>68</v>
      </c>
      <c r="F15" s="15" t="s">
        <v>68</v>
      </c>
      <c r="G15" s="15" t="s">
        <v>68</v>
      </c>
      <c r="H15" s="15" t="s">
        <v>69</v>
      </c>
      <c r="I15" s="18" t="s">
        <v>541</v>
      </c>
      <c r="J15" s="29"/>
      <c r="K15" s="29"/>
      <c r="L15" s="29"/>
      <c r="M15" s="29"/>
      <c r="N15" s="29"/>
      <c r="O15" s="29"/>
      <c r="P15" s="29"/>
      <c r="Q15" s="29"/>
      <c r="R15" s="29"/>
      <c r="S15" s="29"/>
      <c r="T15" s="29"/>
      <c r="U15" s="29"/>
      <c r="V15" s="29"/>
      <c r="W15" s="29"/>
      <c r="X15" s="29"/>
      <c r="Y15" s="29"/>
    </row>
    <row r="16" spans="1:25" ht="14.25" customHeight="1" x14ac:dyDescent="0.3">
      <c r="A16" s="6" t="s">
        <v>234</v>
      </c>
      <c r="B16" s="7" t="s">
        <v>526</v>
      </c>
      <c r="C16" s="7" t="s">
        <v>68</v>
      </c>
      <c r="D16" s="7" t="s">
        <v>68</v>
      </c>
      <c r="E16" s="7" t="s">
        <v>68</v>
      </c>
      <c r="F16" s="7" t="s">
        <v>68</v>
      </c>
      <c r="G16" s="7" t="s">
        <v>68</v>
      </c>
      <c r="H16" s="7" t="s">
        <v>69</v>
      </c>
      <c r="I16" s="11" t="s">
        <v>527</v>
      </c>
      <c r="J16" s="29"/>
      <c r="K16" s="29"/>
      <c r="L16" s="29"/>
      <c r="M16" s="29"/>
      <c r="N16" s="29"/>
      <c r="O16" s="29"/>
      <c r="P16" s="29"/>
      <c r="Q16" s="29"/>
      <c r="R16" s="29"/>
      <c r="S16" s="29"/>
      <c r="T16" s="29"/>
      <c r="U16" s="29"/>
      <c r="V16" s="29"/>
      <c r="W16" s="29"/>
      <c r="X16" s="29"/>
      <c r="Y16" s="29"/>
    </row>
    <row r="17" spans="1:25" ht="14.25" customHeight="1" x14ac:dyDescent="0.3">
      <c r="A17" s="14" t="s">
        <v>244</v>
      </c>
      <c r="B17" s="15" t="s">
        <v>539</v>
      </c>
      <c r="C17" s="15" t="s">
        <v>68</v>
      </c>
      <c r="D17" s="15" t="s">
        <v>68</v>
      </c>
      <c r="E17" s="15" t="s">
        <v>68</v>
      </c>
      <c r="F17" s="15" t="s">
        <v>68</v>
      </c>
      <c r="G17" s="15" t="s">
        <v>68</v>
      </c>
      <c r="H17" s="15" t="s">
        <v>69</v>
      </c>
      <c r="I17" s="18" t="s">
        <v>542</v>
      </c>
      <c r="J17" s="29"/>
      <c r="K17" s="29"/>
      <c r="L17" s="29"/>
      <c r="M17" s="29"/>
      <c r="N17" s="29"/>
      <c r="O17" s="29"/>
      <c r="P17" s="29"/>
      <c r="Q17" s="29"/>
      <c r="R17" s="29"/>
      <c r="S17" s="29"/>
      <c r="T17" s="29"/>
      <c r="U17" s="29"/>
      <c r="V17" s="29"/>
      <c r="W17" s="29"/>
      <c r="X17" s="29"/>
      <c r="Y17" s="29"/>
    </row>
    <row r="18" spans="1:25" ht="14.25" customHeight="1" x14ac:dyDescent="0.3">
      <c r="A18" s="6" t="s">
        <v>252</v>
      </c>
      <c r="B18" s="7" t="s">
        <v>539</v>
      </c>
      <c r="C18" s="7" t="s">
        <v>68</v>
      </c>
      <c r="D18" s="7" t="s">
        <v>68</v>
      </c>
      <c r="E18" s="7" t="s">
        <v>68</v>
      </c>
      <c r="F18" s="7" t="s">
        <v>68</v>
      </c>
      <c r="G18" s="7" t="s">
        <v>68</v>
      </c>
      <c r="H18" s="7" t="s">
        <v>69</v>
      </c>
      <c r="I18" s="11" t="s">
        <v>540</v>
      </c>
      <c r="J18" s="29"/>
      <c r="K18" s="29"/>
      <c r="L18" s="29"/>
      <c r="M18" s="29"/>
      <c r="N18" s="29"/>
      <c r="O18" s="29"/>
      <c r="P18" s="29"/>
      <c r="Q18" s="29"/>
      <c r="R18" s="29"/>
      <c r="S18" s="29"/>
      <c r="T18" s="29"/>
      <c r="U18" s="29"/>
      <c r="V18" s="29"/>
      <c r="W18" s="29"/>
      <c r="X18" s="29"/>
      <c r="Y18" s="29"/>
    </row>
    <row r="19" spans="1:25" ht="14.25" customHeight="1" x14ac:dyDescent="0.3">
      <c r="A19" s="14" t="s">
        <v>262</v>
      </c>
      <c r="B19" s="15" t="s">
        <v>539</v>
      </c>
      <c r="C19" s="15" t="s">
        <v>68</v>
      </c>
      <c r="D19" s="15" t="s">
        <v>68</v>
      </c>
      <c r="E19" s="15" t="s">
        <v>68</v>
      </c>
      <c r="F19" s="15" t="s">
        <v>68</v>
      </c>
      <c r="G19" s="15" t="s">
        <v>68</v>
      </c>
      <c r="H19" s="15" t="s">
        <v>69</v>
      </c>
      <c r="I19" s="18" t="s">
        <v>543</v>
      </c>
      <c r="J19" s="29"/>
      <c r="K19" s="29"/>
      <c r="L19" s="29"/>
      <c r="M19" s="29"/>
      <c r="N19" s="29"/>
      <c r="O19" s="29"/>
      <c r="P19" s="29"/>
      <c r="Q19" s="29"/>
      <c r="R19" s="29"/>
      <c r="S19" s="29"/>
      <c r="T19" s="29"/>
      <c r="U19" s="29"/>
      <c r="V19" s="29"/>
      <c r="W19" s="29"/>
      <c r="X19" s="29"/>
      <c r="Y19" s="29"/>
    </row>
    <row r="20" spans="1:25" ht="14.25" customHeight="1" x14ac:dyDescent="0.3">
      <c r="A20" s="6" t="s">
        <v>268</v>
      </c>
      <c r="B20" s="7" t="s">
        <v>526</v>
      </c>
      <c r="C20" s="7" t="s">
        <v>68</v>
      </c>
      <c r="D20" s="7" t="s">
        <v>68</v>
      </c>
      <c r="E20" s="7" t="s">
        <v>68</v>
      </c>
      <c r="F20" s="7" t="s">
        <v>68</v>
      </c>
      <c r="G20" s="7" t="s">
        <v>68</v>
      </c>
      <c r="H20" s="7" t="s">
        <v>69</v>
      </c>
      <c r="I20" s="11" t="s">
        <v>544</v>
      </c>
      <c r="J20" s="29"/>
      <c r="K20" s="29"/>
      <c r="L20" s="29"/>
      <c r="M20" s="29"/>
      <c r="N20" s="29"/>
      <c r="O20" s="29"/>
      <c r="P20" s="29"/>
      <c r="Q20" s="29"/>
      <c r="R20" s="29"/>
      <c r="S20" s="29"/>
      <c r="T20" s="29"/>
      <c r="U20" s="29"/>
      <c r="V20" s="29"/>
      <c r="W20" s="29"/>
      <c r="X20" s="29"/>
      <c r="Y20" s="29"/>
    </row>
    <row r="21" spans="1:25" ht="14.25" customHeight="1" x14ac:dyDescent="0.3">
      <c r="A21" s="14" t="s">
        <v>279</v>
      </c>
      <c r="B21" s="15" t="s">
        <v>539</v>
      </c>
      <c r="C21" s="15" t="s">
        <v>68</v>
      </c>
      <c r="D21" s="15" t="s">
        <v>68</v>
      </c>
      <c r="E21" s="15" t="s">
        <v>68</v>
      </c>
      <c r="F21" s="15" t="s">
        <v>68</v>
      </c>
      <c r="G21" s="15" t="s">
        <v>68</v>
      </c>
      <c r="H21" s="15" t="s">
        <v>69</v>
      </c>
      <c r="I21" s="18" t="s">
        <v>540</v>
      </c>
      <c r="J21" s="29"/>
      <c r="K21" s="29"/>
      <c r="L21" s="29"/>
      <c r="M21" s="29"/>
      <c r="N21" s="29"/>
      <c r="O21" s="29"/>
      <c r="P21" s="29"/>
      <c r="Q21" s="29"/>
      <c r="R21" s="29"/>
      <c r="S21" s="29"/>
      <c r="T21" s="29"/>
      <c r="U21" s="29"/>
      <c r="V21" s="29"/>
      <c r="W21" s="29"/>
      <c r="X21" s="29"/>
      <c r="Y21" s="29"/>
    </row>
    <row r="22" spans="1:25" ht="14.25" customHeight="1" x14ac:dyDescent="0.3">
      <c r="A22" s="6" t="s">
        <v>286</v>
      </c>
      <c r="B22" s="7" t="s">
        <v>545</v>
      </c>
      <c r="C22" s="7" t="s">
        <v>68</v>
      </c>
      <c r="D22" s="7" t="s">
        <v>68</v>
      </c>
      <c r="E22" s="7" t="s">
        <v>68</v>
      </c>
      <c r="F22" s="7" t="s">
        <v>68</v>
      </c>
      <c r="G22" s="7" t="s">
        <v>68</v>
      </c>
      <c r="H22" s="7" t="s">
        <v>69</v>
      </c>
      <c r="I22" s="11" t="s">
        <v>546</v>
      </c>
      <c r="J22" s="29"/>
      <c r="K22" s="29"/>
      <c r="L22" s="29"/>
      <c r="M22" s="29"/>
      <c r="N22" s="29"/>
      <c r="O22" s="29"/>
      <c r="P22" s="29"/>
      <c r="Q22" s="29"/>
      <c r="R22" s="29"/>
      <c r="S22" s="29"/>
      <c r="T22" s="29"/>
      <c r="U22" s="29"/>
      <c r="V22" s="29"/>
      <c r="W22" s="29"/>
      <c r="X22" s="29"/>
      <c r="Y22" s="29"/>
    </row>
    <row r="23" spans="1:25" ht="14.25" customHeight="1" x14ac:dyDescent="0.3">
      <c r="A23" s="14" t="s">
        <v>300</v>
      </c>
      <c r="B23" s="15" t="s">
        <v>526</v>
      </c>
      <c r="C23" s="15" t="s">
        <v>68</v>
      </c>
      <c r="D23" s="15" t="s">
        <v>68</v>
      </c>
      <c r="E23" s="15" t="s">
        <v>68</v>
      </c>
      <c r="F23" s="15" t="s">
        <v>68</v>
      </c>
      <c r="G23" s="15" t="s">
        <v>68</v>
      </c>
      <c r="H23" s="15" t="s">
        <v>69</v>
      </c>
      <c r="I23" s="18" t="s">
        <v>527</v>
      </c>
      <c r="J23" s="29"/>
      <c r="K23" s="29"/>
      <c r="L23" s="29"/>
      <c r="M23" s="29"/>
      <c r="N23" s="29"/>
      <c r="O23" s="29"/>
      <c r="P23" s="29"/>
      <c r="Q23" s="29"/>
      <c r="R23" s="29"/>
      <c r="S23" s="29"/>
      <c r="T23" s="29"/>
      <c r="U23" s="29"/>
      <c r="V23" s="29"/>
      <c r="W23" s="29"/>
      <c r="X23" s="29"/>
      <c r="Y23" s="29"/>
    </row>
    <row r="24" spans="1:25" ht="14.25" customHeight="1" x14ac:dyDescent="0.3">
      <c r="A24" s="6" t="s">
        <v>306</v>
      </c>
      <c r="B24" s="7" t="s">
        <v>547</v>
      </c>
      <c r="C24" s="7" t="s">
        <v>68</v>
      </c>
      <c r="D24" s="7" t="s">
        <v>68</v>
      </c>
      <c r="E24" s="7" t="s">
        <v>68</v>
      </c>
      <c r="F24" s="7" t="s">
        <v>68</v>
      </c>
      <c r="G24" s="7" t="s">
        <v>68</v>
      </c>
      <c r="H24" s="7" t="s">
        <v>69</v>
      </c>
      <c r="I24" s="11" t="s">
        <v>548</v>
      </c>
      <c r="J24" s="29"/>
      <c r="K24" s="29"/>
      <c r="L24" s="29"/>
      <c r="M24" s="29"/>
      <c r="N24" s="29"/>
      <c r="O24" s="29"/>
      <c r="P24" s="29"/>
      <c r="Q24" s="29"/>
      <c r="R24" s="29"/>
      <c r="S24" s="29"/>
      <c r="T24" s="29"/>
      <c r="U24" s="29"/>
      <c r="V24" s="29"/>
      <c r="W24" s="29"/>
      <c r="X24" s="29"/>
      <c r="Y24" s="29"/>
    </row>
    <row r="25" spans="1:25" ht="14.25" customHeight="1" x14ac:dyDescent="0.3">
      <c r="A25" s="14" t="s">
        <v>314</v>
      </c>
      <c r="B25" s="15" t="s">
        <v>547</v>
      </c>
      <c r="C25" s="15" t="s">
        <v>68</v>
      </c>
      <c r="D25" s="15" t="s">
        <v>68</v>
      </c>
      <c r="E25" s="15" t="s">
        <v>68</v>
      </c>
      <c r="F25" s="15" t="s">
        <v>68</v>
      </c>
      <c r="G25" s="15" t="s">
        <v>68</v>
      </c>
      <c r="H25" s="15" t="s">
        <v>69</v>
      </c>
      <c r="I25" s="18" t="s">
        <v>549</v>
      </c>
      <c r="J25" s="29"/>
      <c r="K25" s="29"/>
      <c r="L25" s="29"/>
      <c r="M25" s="29"/>
      <c r="N25" s="29"/>
      <c r="O25" s="29"/>
      <c r="P25" s="29"/>
      <c r="Q25" s="29"/>
      <c r="R25" s="29"/>
      <c r="S25" s="29"/>
      <c r="T25" s="29"/>
      <c r="U25" s="29"/>
      <c r="V25" s="29"/>
      <c r="W25" s="29"/>
      <c r="X25" s="29"/>
      <c r="Y25" s="29"/>
    </row>
    <row r="26" spans="1:25" ht="14.25" customHeight="1" x14ac:dyDescent="0.3">
      <c r="A26" s="6" t="s">
        <v>325</v>
      </c>
      <c r="B26" s="7" t="s">
        <v>547</v>
      </c>
      <c r="C26" s="7" t="s">
        <v>68</v>
      </c>
      <c r="D26" s="7" t="s">
        <v>68</v>
      </c>
      <c r="E26" s="7" t="s">
        <v>68</v>
      </c>
      <c r="F26" s="7" t="s">
        <v>68</v>
      </c>
      <c r="G26" s="7" t="s">
        <v>68</v>
      </c>
      <c r="H26" s="7" t="s">
        <v>69</v>
      </c>
      <c r="I26" s="11" t="s">
        <v>550</v>
      </c>
      <c r="J26" s="29"/>
      <c r="K26" s="29"/>
      <c r="L26" s="29"/>
      <c r="M26" s="29"/>
      <c r="N26" s="29"/>
      <c r="O26" s="29"/>
      <c r="P26" s="29"/>
      <c r="Q26" s="29"/>
      <c r="R26" s="29"/>
      <c r="S26" s="29"/>
      <c r="T26" s="29"/>
      <c r="U26" s="29"/>
      <c r="V26" s="29"/>
      <c r="W26" s="29"/>
      <c r="X26" s="29"/>
      <c r="Y26" s="29"/>
    </row>
    <row r="27" spans="1:25" ht="14.25" customHeight="1" x14ac:dyDescent="0.3">
      <c r="A27" s="14" t="s">
        <v>332</v>
      </c>
      <c r="B27" s="15" t="s">
        <v>551</v>
      </c>
      <c r="C27" s="15" t="s">
        <v>68</v>
      </c>
      <c r="D27" s="15" t="s">
        <v>68</v>
      </c>
      <c r="E27" s="15" t="s">
        <v>68</v>
      </c>
      <c r="F27" s="15" t="s">
        <v>537</v>
      </c>
      <c r="G27" s="15" t="s">
        <v>68</v>
      </c>
      <c r="H27" s="15" t="s">
        <v>69</v>
      </c>
      <c r="I27" s="18" t="s">
        <v>552</v>
      </c>
      <c r="J27" s="29"/>
      <c r="K27" s="29"/>
      <c r="L27" s="29"/>
      <c r="M27" s="29"/>
      <c r="N27" s="29"/>
      <c r="O27" s="29"/>
      <c r="P27" s="29"/>
      <c r="Q27" s="29"/>
      <c r="R27" s="29"/>
      <c r="S27" s="29"/>
      <c r="T27" s="29"/>
      <c r="U27" s="29"/>
      <c r="V27" s="29"/>
      <c r="W27" s="29"/>
      <c r="X27" s="29"/>
      <c r="Y27" s="29"/>
    </row>
    <row r="28" spans="1:25" ht="14.25" customHeight="1" x14ac:dyDescent="0.3">
      <c r="A28" s="6" t="s">
        <v>341</v>
      </c>
      <c r="B28" s="7" t="s">
        <v>528</v>
      </c>
      <c r="C28" s="7" t="s">
        <v>68</v>
      </c>
      <c r="D28" s="7" t="s">
        <v>68</v>
      </c>
      <c r="E28" s="7" t="s">
        <v>68</v>
      </c>
      <c r="F28" s="7" t="s">
        <v>68</v>
      </c>
      <c r="G28" s="7" t="s">
        <v>68</v>
      </c>
      <c r="H28" s="7" t="s">
        <v>69</v>
      </c>
      <c r="I28" s="11" t="s">
        <v>553</v>
      </c>
      <c r="J28" s="29"/>
      <c r="K28" s="29"/>
      <c r="L28" s="29"/>
      <c r="M28" s="29"/>
      <c r="N28" s="29"/>
      <c r="O28" s="29"/>
      <c r="P28" s="29"/>
      <c r="Q28" s="29"/>
      <c r="R28" s="29"/>
      <c r="S28" s="29"/>
      <c r="T28" s="29"/>
      <c r="U28" s="29"/>
      <c r="V28" s="29"/>
      <c r="W28" s="29"/>
      <c r="X28" s="29"/>
      <c r="Y28" s="29"/>
    </row>
    <row r="29" spans="1:25" ht="14.25" customHeight="1" x14ac:dyDescent="0.3">
      <c r="A29" s="14" t="s">
        <v>346</v>
      </c>
      <c r="B29" s="15" t="s">
        <v>554</v>
      </c>
      <c r="C29" s="15" t="s">
        <v>68</v>
      </c>
      <c r="D29" s="15" t="s">
        <v>68</v>
      </c>
      <c r="E29" s="15" t="s">
        <v>68</v>
      </c>
      <c r="F29" s="15" t="s">
        <v>68</v>
      </c>
      <c r="G29" s="15" t="s">
        <v>68</v>
      </c>
      <c r="H29" s="15" t="s">
        <v>69</v>
      </c>
      <c r="I29" s="18" t="s">
        <v>555</v>
      </c>
      <c r="J29" s="29"/>
      <c r="K29" s="29"/>
      <c r="L29" s="29"/>
      <c r="M29" s="29"/>
      <c r="N29" s="29"/>
      <c r="O29" s="29"/>
      <c r="P29" s="29"/>
      <c r="Q29" s="29"/>
      <c r="R29" s="29"/>
      <c r="S29" s="29"/>
      <c r="T29" s="29"/>
      <c r="U29" s="29"/>
      <c r="V29" s="29"/>
      <c r="W29" s="29"/>
      <c r="X29" s="29"/>
      <c r="Y29" s="29"/>
    </row>
    <row r="30" spans="1:25" ht="14.25" customHeight="1" x14ac:dyDescent="0.3">
      <c r="A30" s="6" t="s">
        <v>355</v>
      </c>
      <c r="B30" s="7" t="s">
        <v>556</v>
      </c>
      <c r="C30" s="7" t="s">
        <v>68</v>
      </c>
      <c r="D30" s="7" t="s">
        <v>68</v>
      </c>
      <c r="E30" s="7" t="s">
        <v>68</v>
      </c>
      <c r="F30" s="7" t="s">
        <v>68</v>
      </c>
      <c r="G30" s="7" t="s">
        <v>68</v>
      </c>
      <c r="H30" s="7" t="s">
        <v>69</v>
      </c>
      <c r="I30" s="11" t="s">
        <v>557</v>
      </c>
      <c r="J30" s="29"/>
      <c r="K30" s="29"/>
      <c r="L30" s="29"/>
      <c r="M30" s="29"/>
      <c r="N30" s="29"/>
      <c r="O30" s="29"/>
      <c r="P30" s="29"/>
      <c r="Q30" s="29"/>
      <c r="R30" s="29"/>
      <c r="S30" s="29"/>
      <c r="T30" s="29"/>
      <c r="U30" s="29"/>
      <c r="V30" s="29"/>
      <c r="W30" s="29"/>
      <c r="X30" s="29"/>
      <c r="Y30" s="29"/>
    </row>
    <row r="31" spans="1:25" ht="14.25" customHeight="1" x14ac:dyDescent="0.3">
      <c r="A31" s="14" t="s">
        <v>362</v>
      </c>
      <c r="B31" s="15" t="s">
        <v>554</v>
      </c>
      <c r="C31" s="15" t="s">
        <v>68</v>
      </c>
      <c r="D31" s="15" t="s">
        <v>68</v>
      </c>
      <c r="E31" s="15" t="s">
        <v>68</v>
      </c>
      <c r="F31" s="15" t="s">
        <v>68</v>
      </c>
      <c r="G31" s="15" t="s">
        <v>68</v>
      </c>
      <c r="H31" s="15" t="s">
        <v>69</v>
      </c>
      <c r="I31" s="18" t="s">
        <v>558</v>
      </c>
      <c r="J31" s="29"/>
      <c r="K31" s="29"/>
      <c r="L31" s="29"/>
      <c r="M31" s="29"/>
      <c r="N31" s="29"/>
      <c r="O31" s="29"/>
      <c r="P31" s="29"/>
      <c r="Q31" s="29"/>
      <c r="R31" s="29"/>
      <c r="S31" s="29"/>
      <c r="T31" s="29"/>
      <c r="U31" s="29"/>
      <c r="V31" s="29"/>
      <c r="W31" s="29"/>
      <c r="X31" s="29"/>
      <c r="Y31" s="29"/>
    </row>
    <row r="32" spans="1:25" ht="14.25" customHeight="1" x14ac:dyDescent="0.3">
      <c r="A32" s="6" t="s">
        <v>374</v>
      </c>
      <c r="B32" s="7" t="s">
        <v>528</v>
      </c>
      <c r="C32" s="7" t="s">
        <v>68</v>
      </c>
      <c r="D32" s="7" t="s">
        <v>68</v>
      </c>
      <c r="E32" s="7" t="s">
        <v>68</v>
      </c>
      <c r="F32" s="7" t="s">
        <v>68</v>
      </c>
      <c r="G32" s="7" t="s">
        <v>68</v>
      </c>
      <c r="H32" s="7" t="s">
        <v>69</v>
      </c>
      <c r="I32" s="11" t="s">
        <v>559</v>
      </c>
      <c r="J32" s="29"/>
      <c r="K32" s="29"/>
      <c r="L32" s="29"/>
      <c r="M32" s="29"/>
      <c r="N32" s="29"/>
      <c r="O32" s="29"/>
      <c r="P32" s="29"/>
      <c r="Q32" s="29"/>
      <c r="R32" s="29"/>
      <c r="S32" s="29"/>
      <c r="T32" s="29"/>
      <c r="U32" s="29"/>
      <c r="V32" s="29"/>
      <c r="W32" s="29"/>
      <c r="X32" s="29"/>
      <c r="Y32" s="29"/>
    </row>
    <row r="33" spans="1:25" ht="14.25" customHeight="1" x14ac:dyDescent="0.3">
      <c r="A33" s="14" t="s">
        <v>383</v>
      </c>
      <c r="B33" s="15" t="s">
        <v>528</v>
      </c>
      <c r="C33" s="15" t="s">
        <v>68</v>
      </c>
      <c r="D33" s="15" t="s">
        <v>68</v>
      </c>
      <c r="E33" s="15" t="s">
        <v>68</v>
      </c>
      <c r="F33" s="15" t="s">
        <v>68</v>
      </c>
      <c r="G33" s="15" t="s">
        <v>68</v>
      </c>
      <c r="H33" s="15" t="s">
        <v>69</v>
      </c>
      <c r="I33" s="18" t="s">
        <v>560</v>
      </c>
      <c r="J33" s="29"/>
      <c r="K33" s="29"/>
      <c r="L33" s="29"/>
      <c r="M33" s="29"/>
      <c r="N33" s="29"/>
      <c r="O33" s="29"/>
      <c r="P33" s="29"/>
      <c r="Q33" s="29"/>
      <c r="R33" s="29"/>
      <c r="S33" s="29"/>
      <c r="T33" s="29"/>
      <c r="U33" s="29"/>
      <c r="V33" s="29"/>
      <c r="W33" s="29"/>
      <c r="X33" s="29"/>
      <c r="Y33" s="29"/>
    </row>
    <row r="34" spans="1:25" ht="14.25" customHeight="1" x14ac:dyDescent="0.3">
      <c r="A34" s="6" t="s">
        <v>391</v>
      </c>
      <c r="B34" s="7" t="s">
        <v>561</v>
      </c>
      <c r="C34" s="7" t="s">
        <v>68</v>
      </c>
      <c r="D34" s="7" t="s">
        <v>68</v>
      </c>
      <c r="E34" s="7" t="s">
        <v>68</v>
      </c>
      <c r="F34" s="7" t="s">
        <v>68</v>
      </c>
      <c r="G34" s="7" t="s">
        <v>68</v>
      </c>
      <c r="H34" s="7" t="s">
        <v>69</v>
      </c>
      <c r="I34" s="11" t="s">
        <v>562</v>
      </c>
      <c r="J34" s="29"/>
      <c r="K34" s="29"/>
      <c r="L34" s="29"/>
      <c r="M34" s="29"/>
      <c r="N34" s="29"/>
      <c r="O34" s="29"/>
      <c r="P34" s="29"/>
      <c r="Q34" s="29"/>
      <c r="R34" s="29"/>
      <c r="S34" s="29"/>
      <c r="T34" s="29"/>
      <c r="U34" s="29"/>
      <c r="V34" s="29"/>
      <c r="W34" s="29"/>
      <c r="X34" s="29"/>
      <c r="Y34" s="29"/>
    </row>
    <row r="35" spans="1:25" ht="14.25" customHeight="1" x14ac:dyDescent="0.3">
      <c r="A35" s="14" t="s">
        <v>401</v>
      </c>
      <c r="B35" s="15" t="s">
        <v>547</v>
      </c>
      <c r="C35" s="15" t="s">
        <v>68</v>
      </c>
      <c r="D35" s="15" t="s">
        <v>68</v>
      </c>
      <c r="E35" s="15" t="s">
        <v>68</v>
      </c>
      <c r="F35" s="15" t="s">
        <v>68</v>
      </c>
      <c r="G35" s="15" t="s">
        <v>68</v>
      </c>
      <c r="H35" s="15" t="s">
        <v>69</v>
      </c>
      <c r="I35" s="18" t="s">
        <v>563</v>
      </c>
      <c r="J35" s="29"/>
      <c r="K35" s="29"/>
      <c r="L35" s="29"/>
      <c r="M35" s="29"/>
      <c r="N35" s="29"/>
      <c r="O35" s="29"/>
      <c r="P35" s="29"/>
      <c r="Q35" s="29"/>
      <c r="R35" s="29"/>
      <c r="S35" s="29"/>
      <c r="T35" s="29"/>
      <c r="U35" s="29"/>
      <c r="V35" s="29"/>
      <c r="W35" s="29"/>
      <c r="X35" s="29"/>
      <c r="Y35" s="29"/>
    </row>
    <row r="36" spans="1:25" ht="14.25" customHeight="1" x14ac:dyDescent="0.3">
      <c r="A36" s="6" t="s">
        <v>408</v>
      </c>
      <c r="B36" s="7" t="s">
        <v>547</v>
      </c>
      <c r="C36" s="7" t="s">
        <v>68</v>
      </c>
      <c r="D36" s="7" t="s">
        <v>68</v>
      </c>
      <c r="E36" s="7" t="s">
        <v>68</v>
      </c>
      <c r="F36" s="7" t="s">
        <v>68</v>
      </c>
      <c r="G36" s="7" t="s">
        <v>68</v>
      </c>
      <c r="H36" s="7" t="s">
        <v>69</v>
      </c>
      <c r="I36" s="11" t="s">
        <v>564</v>
      </c>
      <c r="J36" s="29"/>
      <c r="K36" s="29"/>
      <c r="L36" s="29"/>
      <c r="M36" s="29"/>
      <c r="N36" s="29"/>
      <c r="O36" s="29"/>
      <c r="P36" s="29"/>
      <c r="Q36" s="29"/>
      <c r="R36" s="29"/>
      <c r="S36" s="29"/>
      <c r="T36" s="29"/>
      <c r="U36" s="29"/>
      <c r="V36" s="29"/>
      <c r="W36" s="29"/>
      <c r="X36" s="29"/>
      <c r="Y36" s="29"/>
    </row>
    <row r="37" spans="1:25" ht="14.25" customHeight="1" x14ac:dyDescent="0.3">
      <c r="A37" s="14" t="s">
        <v>413</v>
      </c>
      <c r="B37" s="15" t="s">
        <v>547</v>
      </c>
      <c r="C37" s="15" t="s">
        <v>68</v>
      </c>
      <c r="D37" s="15" t="s">
        <v>68</v>
      </c>
      <c r="E37" s="15" t="s">
        <v>68</v>
      </c>
      <c r="F37" s="15" t="s">
        <v>68</v>
      </c>
      <c r="G37" s="15" t="s">
        <v>68</v>
      </c>
      <c r="H37" s="15" t="s">
        <v>69</v>
      </c>
      <c r="I37" s="18" t="s">
        <v>565</v>
      </c>
      <c r="J37" s="29"/>
      <c r="K37" s="29"/>
      <c r="L37" s="29"/>
      <c r="M37" s="29"/>
      <c r="N37" s="29"/>
      <c r="O37" s="29"/>
      <c r="P37" s="29"/>
      <c r="Q37" s="29"/>
      <c r="R37" s="29"/>
      <c r="S37" s="29"/>
      <c r="T37" s="29"/>
      <c r="U37" s="29"/>
      <c r="V37" s="29"/>
      <c r="W37" s="29"/>
      <c r="X37" s="29"/>
      <c r="Y37" s="29"/>
    </row>
    <row r="38" spans="1:25" ht="14.25" customHeight="1" x14ac:dyDescent="0.3">
      <c r="A38" s="6" t="s">
        <v>420</v>
      </c>
      <c r="B38" s="7" t="s">
        <v>547</v>
      </c>
      <c r="C38" s="7" t="s">
        <v>68</v>
      </c>
      <c r="D38" s="7" t="s">
        <v>68</v>
      </c>
      <c r="E38" s="7" t="s">
        <v>68</v>
      </c>
      <c r="F38" s="7" t="s">
        <v>68</v>
      </c>
      <c r="G38" s="7" t="s">
        <v>68</v>
      </c>
      <c r="H38" s="7" t="s">
        <v>69</v>
      </c>
      <c r="I38" s="11" t="s">
        <v>549</v>
      </c>
      <c r="J38" s="29"/>
      <c r="K38" s="29"/>
      <c r="L38" s="29"/>
      <c r="M38" s="29"/>
      <c r="N38" s="29"/>
      <c r="O38" s="29"/>
      <c r="P38" s="29"/>
      <c r="Q38" s="29"/>
      <c r="R38" s="29"/>
      <c r="S38" s="29"/>
      <c r="T38" s="29"/>
      <c r="U38" s="29"/>
      <c r="V38" s="29"/>
      <c r="W38" s="29"/>
      <c r="X38" s="29"/>
      <c r="Y38" s="29"/>
    </row>
    <row r="39" spans="1:25" ht="14.25" customHeight="1" x14ac:dyDescent="0.3">
      <c r="A39" s="14" t="s">
        <v>429</v>
      </c>
      <c r="B39" s="15" t="s">
        <v>547</v>
      </c>
      <c r="C39" s="15" t="s">
        <v>68</v>
      </c>
      <c r="D39" s="15" t="s">
        <v>68</v>
      </c>
      <c r="E39" s="15" t="s">
        <v>68</v>
      </c>
      <c r="F39" s="15" t="s">
        <v>68</v>
      </c>
      <c r="G39" s="15" t="s">
        <v>68</v>
      </c>
      <c r="H39" s="15" t="s">
        <v>69</v>
      </c>
      <c r="I39" s="18" t="s">
        <v>566</v>
      </c>
      <c r="J39" s="29"/>
      <c r="K39" s="29"/>
      <c r="L39" s="29"/>
      <c r="M39" s="29"/>
      <c r="N39" s="29"/>
      <c r="O39" s="29"/>
      <c r="P39" s="29"/>
      <c r="Q39" s="29"/>
      <c r="R39" s="29"/>
      <c r="S39" s="29"/>
      <c r="T39" s="29"/>
      <c r="U39" s="29"/>
      <c r="V39" s="29"/>
      <c r="W39" s="29"/>
      <c r="X39" s="29"/>
      <c r="Y39" s="29"/>
    </row>
    <row r="40" spans="1:25" ht="14.25" customHeight="1" x14ac:dyDescent="0.3">
      <c r="A40" s="6" t="s">
        <v>434</v>
      </c>
      <c r="B40" s="7" t="s">
        <v>567</v>
      </c>
      <c r="C40" s="7" t="s">
        <v>68</v>
      </c>
      <c r="D40" s="7" t="s">
        <v>68</v>
      </c>
      <c r="E40" s="7" t="s">
        <v>68</v>
      </c>
      <c r="F40" s="7" t="s">
        <v>68</v>
      </c>
      <c r="G40" s="7" t="s">
        <v>68</v>
      </c>
      <c r="H40" s="7" t="s">
        <v>69</v>
      </c>
      <c r="I40" s="11" t="s">
        <v>568</v>
      </c>
      <c r="J40" s="29"/>
      <c r="K40" s="29"/>
      <c r="L40" s="29"/>
      <c r="M40" s="29"/>
      <c r="N40" s="29"/>
      <c r="O40" s="29"/>
      <c r="P40" s="29"/>
      <c r="Q40" s="29"/>
      <c r="R40" s="29"/>
      <c r="S40" s="29"/>
      <c r="T40" s="29"/>
      <c r="U40" s="29"/>
      <c r="V40" s="29"/>
      <c r="W40" s="29"/>
      <c r="X40" s="29"/>
      <c r="Y40" s="29"/>
    </row>
    <row r="41" spans="1:25" ht="14.25" customHeight="1" x14ac:dyDescent="0.3">
      <c r="A41" s="14" t="s">
        <v>442</v>
      </c>
      <c r="B41" s="15" t="s">
        <v>526</v>
      </c>
      <c r="C41" s="15" t="s">
        <v>68</v>
      </c>
      <c r="D41" s="15" t="s">
        <v>68</v>
      </c>
      <c r="E41" s="15" t="s">
        <v>68</v>
      </c>
      <c r="F41" s="15" t="s">
        <v>68</v>
      </c>
      <c r="G41" s="15" t="s">
        <v>68</v>
      </c>
      <c r="H41" s="15" t="s">
        <v>69</v>
      </c>
      <c r="I41" s="18" t="s">
        <v>527</v>
      </c>
      <c r="J41" s="29"/>
      <c r="K41" s="29"/>
      <c r="L41" s="29"/>
      <c r="M41" s="29"/>
      <c r="N41" s="29"/>
      <c r="O41" s="29"/>
      <c r="P41" s="29"/>
      <c r="Q41" s="29"/>
      <c r="R41" s="29"/>
      <c r="S41" s="29"/>
      <c r="T41" s="29"/>
      <c r="U41" s="29"/>
      <c r="V41" s="29"/>
      <c r="W41" s="29"/>
      <c r="X41" s="29"/>
      <c r="Y41" s="29"/>
    </row>
    <row r="42" spans="1:25" ht="14.25" customHeight="1" x14ac:dyDescent="0.3">
      <c r="A42" s="6" t="s">
        <v>449</v>
      </c>
      <c r="B42" s="7" t="s">
        <v>526</v>
      </c>
      <c r="C42" s="7" t="s">
        <v>68</v>
      </c>
      <c r="D42" s="7" t="s">
        <v>68</v>
      </c>
      <c r="E42" s="7" t="s">
        <v>68</v>
      </c>
      <c r="F42" s="7" t="s">
        <v>68</v>
      </c>
      <c r="G42" s="7" t="s">
        <v>68</v>
      </c>
      <c r="H42" s="7" t="s">
        <v>69</v>
      </c>
      <c r="I42" s="11" t="s">
        <v>527</v>
      </c>
      <c r="J42" s="29"/>
      <c r="K42" s="29"/>
      <c r="L42" s="29"/>
      <c r="M42" s="29"/>
      <c r="N42" s="29"/>
      <c r="O42" s="29"/>
      <c r="P42" s="29"/>
      <c r="Q42" s="29"/>
      <c r="R42" s="29"/>
      <c r="S42" s="29"/>
      <c r="T42" s="29"/>
      <c r="U42" s="29"/>
      <c r="V42" s="29"/>
      <c r="W42" s="29"/>
      <c r="X42" s="29"/>
      <c r="Y42" s="29"/>
    </row>
    <row r="43" spans="1:25" ht="14.25" customHeight="1" x14ac:dyDescent="0.3">
      <c r="A43" s="14" t="s">
        <v>455</v>
      </c>
      <c r="B43" s="15" t="s">
        <v>526</v>
      </c>
      <c r="C43" s="15" t="s">
        <v>68</v>
      </c>
      <c r="D43" s="15" t="s">
        <v>68</v>
      </c>
      <c r="E43" s="15" t="s">
        <v>68</v>
      </c>
      <c r="F43" s="15" t="s">
        <v>68</v>
      </c>
      <c r="G43" s="15" t="s">
        <v>68</v>
      </c>
      <c r="H43" s="15" t="s">
        <v>69</v>
      </c>
      <c r="I43" s="18" t="s">
        <v>527</v>
      </c>
      <c r="J43" s="29"/>
      <c r="K43" s="29"/>
      <c r="L43" s="29"/>
      <c r="M43" s="29"/>
      <c r="N43" s="29"/>
      <c r="O43" s="29"/>
      <c r="P43" s="29"/>
      <c r="Q43" s="29"/>
      <c r="R43" s="29"/>
      <c r="S43" s="29"/>
      <c r="T43" s="29"/>
      <c r="U43" s="29"/>
      <c r="V43" s="29"/>
      <c r="W43" s="29"/>
      <c r="X43" s="29"/>
      <c r="Y43" s="29"/>
    </row>
    <row r="44" spans="1:25" ht="14.25" customHeight="1" x14ac:dyDescent="0.3">
      <c r="A44" s="6" t="s">
        <v>461</v>
      </c>
      <c r="B44" s="7" t="s">
        <v>569</v>
      </c>
      <c r="C44" s="7" t="s">
        <v>68</v>
      </c>
      <c r="D44" s="7" t="s">
        <v>68</v>
      </c>
      <c r="E44" s="7" t="s">
        <v>68</v>
      </c>
      <c r="F44" s="7" t="s">
        <v>68</v>
      </c>
      <c r="G44" s="7" t="s">
        <v>68</v>
      </c>
      <c r="H44" s="7" t="s">
        <v>69</v>
      </c>
      <c r="I44" s="11" t="s">
        <v>570</v>
      </c>
      <c r="J44" s="29"/>
      <c r="K44" s="29"/>
      <c r="L44" s="29"/>
      <c r="M44" s="29"/>
      <c r="N44" s="29"/>
      <c r="O44" s="29"/>
      <c r="P44" s="29"/>
      <c r="Q44" s="29"/>
      <c r="R44" s="29"/>
      <c r="S44" s="29"/>
      <c r="T44" s="29"/>
      <c r="U44" s="29"/>
      <c r="V44" s="29"/>
      <c r="W44" s="29"/>
      <c r="X44" s="29"/>
      <c r="Y44" s="29"/>
    </row>
    <row r="45" spans="1:25" ht="14.25" customHeight="1" x14ac:dyDescent="0.3">
      <c r="A45" s="14" t="s">
        <v>479</v>
      </c>
      <c r="B45" s="15" t="s">
        <v>529</v>
      </c>
      <c r="C45" s="15" t="s">
        <v>68</v>
      </c>
      <c r="D45" s="15" t="s">
        <v>68</v>
      </c>
      <c r="E45" s="15" t="s">
        <v>68</v>
      </c>
      <c r="F45" s="15" t="s">
        <v>68</v>
      </c>
      <c r="G45" s="15" t="s">
        <v>68</v>
      </c>
      <c r="H45" s="15" t="s">
        <v>69</v>
      </c>
      <c r="I45" s="18" t="s">
        <v>571</v>
      </c>
      <c r="J45" s="29"/>
      <c r="K45" s="29"/>
      <c r="L45" s="29"/>
      <c r="M45" s="29"/>
      <c r="N45" s="29"/>
      <c r="O45" s="29"/>
      <c r="P45" s="29"/>
      <c r="Q45" s="29"/>
      <c r="R45" s="29"/>
      <c r="S45" s="29"/>
      <c r="T45" s="29"/>
      <c r="U45" s="29"/>
      <c r="V45" s="29"/>
      <c r="W45" s="29"/>
      <c r="X45" s="29"/>
      <c r="Y45" s="29"/>
    </row>
    <row r="46" spans="1:25" ht="14.25" customHeight="1" x14ac:dyDescent="0.3">
      <c r="A46" s="6" t="s">
        <v>488</v>
      </c>
      <c r="B46" s="7" t="s">
        <v>528</v>
      </c>
      <c r="C46" s="7" t="s">
        <v>68</v>
      </c>
      <c r="D46" s="7" t="s">
        <v>68</v>
      </c>
      <c r="E46" s="7" t="s">
        <v>68</v>
      </c>
      <c r="F46" s="7" t="s">
        <v>68</v>
      </c>
      <c r="G46" s="7" t="s">
        <v>68</v>
      </c>
      <c r="H46" s="7" t="s">
        <v>69</v>
      </c>
      <c r="I46" s="11" t="s">
        <v>572</v>
      </c>
      <c r="J46" s="29"/>
      <c r="K46" s="29"/>
      <c r="L46" s="29"/>
      <c r="M46" s="29"/>
      <c r="N46" s="29"/>
      <c r="O46" s="29"/>
      <c r="P46" s="29"/>
      <c r="Q46" s="29"/>
      <c r="R46" s="29"/>
      <c r="S46" s="29"/>
      <c r="T46" s="29"/>
      <c r="U46" s="29"/>
      <c r="V46" s="29"/>
      <c r="W46" s="29"/>
      <c r="X46" s="29"/>
      <c r="Y46" s="29"/>
    </row>
    <row r="47" spans="1:25" ht="14.25" customHeight="1" x14ac:dyDescent="0.3">
      <c r="A47" s="14" t="s">
        <v>495</v>
      </c>
      <c r="B47" s="15" t="s">
        <v>528</v>
      </c>
      <c r="C47" s="15" t="s">
        <v>68</v>
      </c>
      <c r="D47" s="15" t="s">
        <v>68</v>
      </c>
      <c r="E47" s="15" t="s">
        <v>68</v>
      </c>
      <c r="F47" s="15" t="s">
        <v>68</v>
      </c>
      <c r="G47" s="15" t="s">
        <v>68</v>
      </c>
      <c r="H47" s="15" t="s">
        <v>69</v>
      </c>
      <c r="I47" s="18" t="s">
        <v>572</v>
      </c>
      <c r="J47" s="29"/>
      <c r="K47" s="29"/>
      <c r="L47" s="29"/>
      <c r="M47" s="29"/>
      <c r="N47" s="29"/>
      <c r="O47" s="29"/>
      <c r="P47" s="29"/>
      <c r="Q47" s="29"/>
      <c r="R47" s="29"/>
      <c r="S47" s="29"/>
      <c r="T47" s="29"/>
      <c r="U47" s="29"/>
      <c r="V47" s="29"/>
      <c r="W47" s="29"/>
      <c r="X47" s="29"/>
      <c r="Y47" s="29"/>
    </row>
    <row r="48" spans="1:25" ht="14.25" customHeight="1" x14ac:dyDescent="0.3">
      <c r="A48" s="6" t="s">
        <v>502</v>
      </c>
      <c r="B48" s="7" t="s">
        <v>528</v>
      </c>
      <c r="C48" s="7" t="s">
        <v>68</v>
      </c>
      <c r="D48" s="7" t="s">
        <v>68</v>
      </c>
      <c r="E48" s="7" t="s">
        <v>68</v>
      </c>
      <c r="F48" s="7" t="s">
        <v>68</v>
      </c>
      <c r="G48" s="7" t="s">
        <v>68</v>
      </c>
      <c r="H48" s="7" t="s">
        <v>69</v>
      </c>
      <c r="I48" s="11" t="s">
        <v>572</v>
      </c>
      <c r="J48" s="29"/>
      <c r="K48" s="29"/>
      <c r="L48" s="29"/>
      <c r="M48" s="29"/>
      <c r="N48" s="29"/>
      <c r="O48" s="29"/>
      <c r="P48" s="29"/>
      <c r="Q48" s="29"/>
      <c r="R48" s="29"/>
      <c r="S48" s="29"/>
      <c r="T48" s="29"/>
      <c r="U48" s="29"/>
      <c r="V48" s="29"/>
      <c r="W48" s="29"/>
      <c r="X48" s="29"/>
      <c r="Y48" s="29"/>
    </row>
    <row r="49" spans="1:25" ht="14.25" customHeight="1" x14ac:dyDescent="0.3">
      <c r="A49" s="14" t="s">
        <v>508</v>
      </c>
      <c r="B49" s="15" t="s">
        <v>573</v>
      </c>
      <c r="C49" s="15" t="s">
        <v>68</v>
      </c>
      <c r="D49" s="15" t="s">
        <v>68</v>
      </c>
      <c r="E49" s="15" t="s">
        <v>68</v>
      </c>
      <c r="F49" s="15" t="s">
        <v>68</v>
      </c>
      <c r="G49" s="15" t="s">
        <v>68</v>
      </c>
      <c r="H49" s="15" t="s">
        <v>69</v>
      </c>
      <c r="I49" s="18" t="s">
        <v>574</v>
      </c>
      <c r="J49" s="29"/>
      <c r="K49" s="29"/>
      <c r="L49" s="29"/>
      <c r="M49" s="29"/>
      <c r="N49" s="29"/>
      <c r="O49" s="29"/>
      <c r="P49" s="29"/>
      <c r="Q49" s="29"/>
      <c r="R49" s="29"/>
      <c r="S49" s="29"/>
      <c r="T49" s="29"/>
      <c r="U49" s="29"/>
      <c r="V49" s="29"/>
      <c r="W49" s="29"/>
      <c r="X49" s="29"/>
      <c r="Y49" s="29"/>
    </row>
    <row r="50" spans="1:25" ht="14.25" customHeight="1" x14ac:dyDescent="0.3">
      <c r="A50" s="29"/>
      <c r="B50" s="29"/>
      <c r="C50" s="29"/>
      <c r="D50" s="32"/>
      <c r="E50" s="32"/>
      <c r="F50" s="32"/>
      <c r="G50" s="29"/>
      <c r="H50" s="29"/>
      <c r="I50" s="29"/>
      <c r="J50" s="29"/>
      <c r="K50" s="29"/>
      <c r="L50" s="29"/>
      <c r="M50" s="29"/>
      <c r="N50" s="29"/>
      <c r="O50" s="29"/>
      <c r="P50" s="29"/>
      <c r="Q50" s="29"/>
      <c r="R50" s="29"/>
      <c r="S50" s="29"/>
      <c r="T50" s="29"/>
      <c r="U50" s="29"/>
      <c r="V50" s="29"/>
      <c r="W50" s="29"/>
      <c r="X50" s="29"/>
      <c r="Y50" s="29"/>
    </row>
    <row r="51" spans="1:25" ht="14.25" customHeight="1" x14ac:dyDescent="0.3">
      <c r="A51" s="29"/>
      <c r="B51" s="29"/>
      <c r="C51" s="29"/>
      <c r="D51" s="29"/>
      <c r="E51" s="29"/>
      <c r="F51" s="32"/>
      <c r="G51" s="29"/>
      <c r="H51" s="29"/>
      <c r="I51" s="29"/>
      <c r="J51" s="29"/>
      <c r="K51" s="29"/>
      <c r="L51" s="29"/>
      <c r="M51" s="29"/>
      <c r="N51" s="29"/>
      <c r="O51" s="29"/>
      <c r="P51" s="29"/>
      <c r="Q51" s="29"/>
      <c r="R51" s="29"/>
      <c r="S51" s="29"/>
      <c r="T51" s="29"/>
      <c r="U51" s="29"/>
      <c r="V51" s="29"/>
      <c r="W51" s="29"/>
      <c r="X51" s="29"/>
      <c r="Y51" s="29"/>
    </row>
    <row r="52" spans="1:25" ht="14.25" customHeight="1" x14ac:dyDescent="0.3">
      <c r="A52" s="29"/>
      <c r="B52" s="29"/>
      <c r="C52" s="29"/>
      <c r="D52" s="29"/>
      <c r="E52" s="29"/>
      <c r="F52" s="32"/>
      <c r="G52" s="29"/>
      <c r="H52" s="29"/>
      <c r="I52" s="29"/>
      <c r="J52" s="29"/>
      <c r="K52" s="29"/>
      <c r="L52" s="29"/>
      <c r="M52" s="29"/>
      <c r="N52" s="29"/>
      <c r="O52" s="29"/>
      <c r="P52" s="29"/>
      <c r="Q52" s="29"/>
      <c r="R52" s="29"/>
      <c r="S52" s="29"/>
      <c r="T52" s="29"/>
      <c r="U52" s="29"/>
      <c r="V52" s="29"/>
      <c r="W52" s="29"/>
      <c r="X52" s="29"/>
      <c r="Y52" s="29"/>
    </row>
    <row r="53" spans="1:25" ht="14.25" customHeight="1" x14ac:dyDescent="0.3">
      <c r="A53" s="29"/>
      <c r="B53" s="29"/>
      <c r="C53" s="29"/>
      <c r="D53" s="29"/>
      <c r="E53" s="29"/>
      <c r="F53" s="29"/>
      <c r="G53" s="29"/>
      <c r="H53" s="29"/>
      <c r="I53" s="29"/>
      <c r="J53" s="29"/>
      <c r="K53" s="29"/>
      <c r="L53" s="29"/>
      <c r="M53" s="29"/>
      <c r="N53" s="29"/>
      <c r="O53" s="29"/>
      <c r="P53" s="29"/>
      <c r="Q53" s="29"/>
      <c r="R53" s="29"/>
      <c r="S53" s="29"/>
      <c r="T53" s="29"/>
      <c r="U53" s="29"/>
      <c r="V53" s="29"/>
      <c r="W53" s="29"/>
      <c r="X53" s="29"/>
      <c r="Y53" s="29"/>
    </row>
    <row r="54" spans="1:25" ht="14.25" customHeight="1" x14ac:dyDescent="0.3">
      <c r="A54" s="29"/>
      <c r="B54" s="29"/>
      <c r="C54" s="29"/>
      <c r="D54" s="29"/>
      <c r="E54" s="29"/>
      <c r="F54" s="29"/>
      <c r="G54" s="29"/>
      <c r="H54" s="29"/>
      <c r="I54" s="29"/>
      <c r="J54" s="29"/>
      <c r="K54" s="29"/>
      <c r="L54" s="29"/>
      <c r="M54" s="29"/>
      <c r="N54" s="29"/>
      <c r="O54" s="29"/>
      <c r="P54" s="29"/>
      <c r="Q54" s="29"/>
      <c r="R54" s="29"/>
      <c r="S54" s="29"/>
      <c r="T54" s="29"/>
      <c r="U54" s="29"/>
      <c r="V54" s="29"/>
      <c r="W54" s="29"/>
      <c r="X54" s="29"/>
      <c r="Y54" s="29"/>
    </row>
    <row r="55" spans="1:25" ht="14.25" customHeight="1" x14ac:dyDescent="0.3">
      <c r="A55" s="29"/>
      <c r="B55" s="29"/>
      <c r="C55" s="29"/>
      <c r="D55" s="29"/>
      <c r="E55" s="29"/>
      <c r="F55" s="29"/>
      <c r="G55" s="29"/>
      <c r="H55" s="29"/>
      <c r="I55" s="29"/>
      <c r="J55" s="29"/>
      <c r="K55" s="29"/>
      <c r="L55" s="29"/>
      <c r="M55" s="29"/>
      <c r="N55" s="29"/>
      <c r="O55" s="29"/>
      <c r="P55" s="29"/>
      <c r="Q55" s="29"/>
      <c r="R55" s="29"/>
      <c r="S55" s="29"/>
      <c r="T55" s="29"/>
      <c r="U55" s="29"/>
      <c r="V55" s="29"/>
      <c r="W55" s="29"/>
      <c r="X55" s="29"/>
      <c r="Y55" s="29"/>
    </row>
    <row r="56" spans="1:25" ht="14.25" customHeight="1" x14ac:dyDescent="0.3">
      <c r="A56" s="29"/>
      <c r="B56" s="29"/>
      <c r="C56" s="29"/>
      <c r="D56" s="29"/>
      <c r="E56" s="29"/>
      <c r="F56" s="29"/>
      <c r="G56" s="29"/>
      <c r="H56" s="29"/>
      <c r="I56" s="29"/>
      <c r="J56" s="29"/>
      <c r="K56" s="29"/>
      <c r="L56" s="29"/>
      <c r="M56" s="29"/>
      <c r="N56" s="29"/>
      <c r="O56" s="29"/>
      <c r="P56" s="29"/>
      <c r="Q56" s="29"/>
      <c r="R56" s="29"/>
      <c r="S56" s="29"/>
      <c r="T56" s="29"/>
      <c r="U56" s="29"/>
      <c r="V56" s="29"/>
      <c r="W56" s="29"/>
      <c r="X56" s="29"/>
      <c r="Y56" s="29"/>
    </row>
    <row r="57" spans="1:25" ht="14.25" customHeight="1" x14ac:dyDescent="0.3">
      <c r="A57" s="29"/>
      <c r="B57" s="29"/>
      <c r="C57" s="29"/>
      <c r="D57" s="29"/>
      <c r="E57" s="29"/>
      <c r="F57" s="29"/>
      <c r="G57" s="29"/>
      <c r="H57" s="29"/>
      <c r="I57" s="29"/>
      <c r="J57" s="29"/>
      <c r="K57" s="29"/>
      <c r="L57" s="29"/>
      <c r="M57" s="29"/>
      <c r="N57" s="29"/>
      <c r="O57" s="29"/>
      <c r="P57" s="29"/>
      <c r="Q57" s="29"/>
      <c r="R57" s="29"/>
      <c r="S57" s="29"/>
      <c r="T57" s="29"/>
      <c r="U57" s="29"/>
      <c r="V57" s="29"/>
      <c r="W57" s="29"/>
      <c r="X57" s="29"/>
      <c r="Y57" s="29"/>
    </row>
    <row r="58" spans="1:25" ht="14.25" customHeight="1" x14ac:dyDescent="0.3">
      <c r="A58" s="29"/>
      <c r="B58" s="29"/>
      <c r="C58" s="29"/>
      <c r="D58" s="29"/>
      <c r="E58" s="29"/>
      <c r="F58" s="29"/>
      <c r="G58" s="29"/>
      <c r="H58" s="29"/>
      <c r="I58" s="29"/>
      <c r="J58" s="29"/>
      <c r="K58" s="29"/>
      <c r="L58" s="29"/>
      <c r="M58" s="29"/>
      <c r="N58" s="29"/>
      <c r="O58" s="29"/>
      <c r="P58" s="29"/>
      <c r="Q58" s="29"/>
      <c r="R58" s="29"/>
      <c r="S58" s="29"/>
      <c r="T58" s="29"/>
      <c r="U58" s="29"/>
      <c r="V58" s="29"/>
      <c r="W58" s="29"/>
      <c r="X58" s="29"/>
      <c r="Y58" s="29"/>
    </row>
    <row r="59" spans="1:25" ht="14.25" customHeight="1" x14ac:dyDescent="0.3">
      <c r="A59" s="29"/>
      <c r="B59" s="29"/>
      <c r="C59" s="29"/>
      <c r="D59" s="29"/>
      <c r="E59" s="29"/>
      <c r="F59" s="29"/>
      <c r="G59" s="29"/>
      <c r="H59" s="29"/>
      <c r="I59" s="29"/>
      <c r="J59" s="29"/>
      <c r="K59" s="29"/>
      <c r="L59" s="29"/>
      <c r="M59" s="29"/>
      <c r="N59" s="29"/>
      <c r="O59" s="29"/>
      <c r="P59" s="29"/>
      <c r="Q59" s="29"/>
      <c r="R59" s="29"/>
      <c r="S59" s="29"/>
      <c r="T59" s="29"/>
      <c r="U59" s="29"/>
      <c r="V59" s="29"/>
      <c r="W59" s="29"/>
      <c r="X59" s="29"/>
      <c r="Y59" s="29"/>
    </row>
    <row r="60" spans="1:25" ht="14.25" customHeight="1" x14ac:dyDescent="0.3">
      <c r="A60" s="29"/>
      <c r="B60" s="29"/>
      <c r="C60" s="29"/>
      <c r="D60" s="29"/>
      <c r="E60" s="29"/>
      <c r="F60" s="29"/>
      <c r="G60" s="29"/>
      <c r="H60" s="29"/>
      <c r="I60" s="29"/>
      <c r="J60" s="29"/>
      <c r="K60" s="29"/>
      <c r="L60" s="29"/>
      <c r="M60" s="29"/>
      <c r="N60" s="29"/>
      <c r="O60" s="29"/>
      <c r="P60" s="29"/>
      <c r="Q60" s="29"/>
      <c r="R60" s="29"/>
      <c r="S60" s="29"/>
      <c r="T60" s="29"/>
      <c r="U60" s="29"/>
      <c r="V60" s="29"/>
      <c r="W60" s="29"/>
      <c r="X60" s="29"/>
      <c r="Y60" s="29"/>
    </row>
    <row r="61" spans="1:25" ht="14.25" customHeight="1" x14ac:dyDescent="0.3">
      <c r="A61" s="29"/>
      <c r="B61" s="29"/>
      <c r="C61" s="29"/>
      <c r="D61" s="29"/>
      <c r="E61" s="29"/>
      <c r="F61" s="29"/>
      <c r="G61" s="29"/>
      <c r="H61" s="29"/>
      <c r="I61" s="29"/>
      <c r="J61" s="29"/>
      <c r="K61" s="29"/>
      <c r="L61" s="29"/>
      <c r="M61" s="29"/>
      <c r="N61" s="29"/>
      <c r="O61" s="29"/>
      <c r="P61" s="29"/>
      <c r="Q61" s="29"/>
      <c r="R61" s="29"/>
      <c r="S61" s="29"/>
      <c r="T61" s="29"/>
      <c r="U61" s="29"/>
      <c r="V61" s="29"/>
      <c r="W61" s="29"/>
      <c r="X61" s="29"/>
      <c r="Y61" s="29"/>
    </row>
    <row r="62" spans="1:25" ht="14.25" customHeight="1" x14ac:dyDescent="0.3">
      <c r="A62" s="29"/>
      <c r="B62" s="29"/>
      <c r="C62" s="29"/>
      <c r="D62" s="29"/>
      <c r="E62" s="29"/>
      <c r="F62" s="29"/>
      <c r="G62" s="29"/>
      <c r="H62" s="29"/>
      <c r="I62" s="29"/>
      <c r="J62" s="29"/>
      <c r="K62" s="29"/>
      <c r="L62" s="29"/>
      <c r="M62" s="29"/>
      <c r="N62" s="29"/>
      <c r="O62" s="29"/>
      <c r="P62" s="29"/>
      <c r="Q62" s="29"/>
      <c r="R62" s="29"/>
      <c r="S62" s="29"/>
      <c r="T62" s="29"/>
      <c r="U62" s="29"/>
      <c r="V62" s="29"/>
      <c r="W62" s="29"/>
      <c r="X62" s="29"/>
      <c r="Y62" s="29"/>
    </row>
    <row r="63" spans="1:25" ht="14.25" customHeight="1" x14ac:dyDescent="0.3">
      <c r="A63" s="29"/>
      <c r="B63" s="29"/>
      <c r="C63" s="29"/>
      <c r="D63" s="29"/>
      <c r="E63" s="29"/>
      <c r="F63" s="29"/>
      <c r="G63" s="29"/>
      <c r="H63" s="29"/>
      <c r="I63" s="29"/>
      <c r="J63" s="29"/>
      <c r="K63" s="29"/>
      <c r="L63" s="29"/>
      <c r="M63" s="29"/>
      <c r="N63" s="29"/>
      <c r="O63" s="29"/>
      <c r="P63" s="29"/>
      <c r="Q63" s="29"/>
      <c r="R63" s="29"/>
      <c r="S63" s="29"/>
      <c r="T63" s="29"/>
      <c r="U63" s="29"/>
      <c r="V63" s="29"/>
      <c r="W63" s="29"/>
      <c r="X63" s="29"/>
      <c r="Y63" s="29"/>
    </row>
    <row r="64" spans="1:25" ht="14.25" customHeight="1" x14ac:dyDescent="0.3">
      <c r="A64" s="29"/>
      <c r="B64" s="29"/>
      <c r="C64" s="29"/>
      <c r="D64" s="29"/>
      <c r="E64" s="29"/>
      <c r="F64" s="29"/>
      <c r="G64" s="29"/>
      <c r="H64" s="29"/>
      <c r="I64" s="29"/>
      <c r="J64" s="29"/>
      <c r="K64" s="29"/>
      <c r="L64" s="29"/>
      <c r="M64" s="29"/>
      <c r="N64" s="29"/>
      <c r="O64" s="29"/>
      <c r="P64" s="29"/>
      <c r="Q64" s="29"/>
      <c r="R64" s="29"/>
      <c r="S64" s="29"/>
      <c r="T64" s="29"/>
      <c r="U64" s="29"/>
      <c r="V64" s="29"/>
      <c r="W64" s="29"/>
      <c r="X64" s="29"/>
      <c r="Y64" s="29"/>
    </row>
    <row r="65" spans="1:25" ht="14.25" customHeight="1" x14ac:dyDescent="0.3">
      <c r="A65" s="29"/>
      <c r="B65" s="29"/>
      <c r="C65" s="29"/>
      <c r="D65" s="29"/>
      <c r="E65" s="29"/>
      <c r="F65" s="29"/>
      <c r="G65" s="29"/>
      <c r="H65" s="29"/>
      <c r="I65" s="29"/>
      <c r="J65" s="29"/>
      <c r="K65" s="29"/>
      <c r="L65" s="29"/>
      <c r="M65" s="29"/>
      <c r="N65" s="29"/>
      <c r="O65" s="29"/>
      <c r="P65" s="29"/>
      <c r="Q65" s="29"/>
      <c r="R65" s="29"/>
      <c r="S65" s="29"/>
      <c r="T65" s="29"/>
      <c r="U65" s="29"/>
      <c r="V65" s="29"/>
      <c r="W65" s="29"/>
      <c r="X65" s="29"/>
      <c r="Y65" s="29"/>
    </row>
    <row r="66" spans="1:25" ht="14.25" customHeight="1" x14ac:dyDescent="0.3">
      <c r="A66" s="29"/>
      <c r="B66" s="29"/>
      <c r="C66" s="29"/>
      <c r="D66" s="29"/>
      <c r="E66" s="29"/>
      <c r="F66" s="29"/>
      <c r="G66" s="29"/>
      <c r="H66" s="29"/>
      <c r="I66" s="29"/>
      <c r="J66" s="29"/>
      <c r="K66" s="29"/>
      <c r="L66" s="29"/>
      <c r="M66" s="29"/>
      <c r="N66" s="29"/>
      <c r="O66" s="29"/>
      <c r="P66" s="29"/>
      <c r="Q66" s="29"/>
      <c r="R66" s="29"/>
      <c r="S66" s="29"/>
      <c r="T66" s="29"/>
      <c r="U66" s="29"/>
      <c r="V66" s="29"/>
      <c r="W66" s="29"/>
      <c r="X66" s="29"/>
      <c r="Y66" s="29"/>
    </row>
    <row r="67" spans="1:25" ht="14.25" customHeight="1" x14ac:dyDescent="0.3">
      <c r="A67" s="29"/>
      <c r="B67" s="29"/>
      <c r="C67" s="29"/>
      <c r="D67" s="29"/>
      <c r="E67" s="29"/>
      <c r="F67" s="29"/>
      <c r="G67" s="29"/>
      <c r="H67" s="29"/>
      <c r="I67" s="29"/>
      <c r="J67" s="29"/>
      <c r="K67" s="29"/>
      <c r="L67" s="29"/>
      <c r="M67" s="29"/>
      <c r="N67" s="29"/>
      <c r="O67" s="29"/>
      <c r="P67" s="29"/>
      <c r="Q67" s="29"/>
      <c r="R67" s="29"/>
      <c r="S67" s="29"/>
      <c r="T67" s="29"/>
      <c r="U67" s="29"/>
      <c r="V67" s="29"/>
      <c r="W67" s="29"/>
      <c r="X67" s="29"/>
      <c r="Y67" s="29"/>
    </row>
    <row r="68" spans="1:25" ht="14.25" customHeight="1" x14ac:dyDescent="0.3">
      <c r="A68" s="29"/>
      <c r="B68" s="29"/>
      <c r="C68" s="29"/>
      <c r="D68" s="29"/>
      <c r="E68" s="29"/>
      <c r="F68" s="29"/>
      <c r="G68" s="29"/>
      <c r="H68" s="29"/>
      <c r="I68" s="29"/>
      <c r="J68" s="29"/>
      <c r="K68" s="29"/>
      <c r="L68" s="29"/>
      <c r="M68" s="29"/>
      <c r="N68" s="29"/>
      <c r="O68" s="29"/>
      <c r="P68" s="29"/>
      <c r="Q68" s="29"/>
      <c r="R68" s="29"/>
      <c r="S68" s="29"/>
      <c r="T68" s="29"/>
      <c r="U68" s="29"/>
      <c r="V68" s="29"/>
      <c r="W68" s="29"/>
      <c r="X68" s="29"/>
      <c r="Y68" s="29"/>
    </row>
    <row r="69" spans="1:25" ht="14.25" customHeight="1" x14ac:dyDescent="0.3">
      <c r="A69" s="29"/>
      <c r="B69" s="29"/>
      <c r="C69" s="29"/>
      <c r="D69" s="29"/>
      <c r="E69" s="29"/>
      <c r="F69" s="29"/>
      <c r="G69" s="29"/>
      <c r="H69" s="29"/>
      <c r="I69" s="29"/>
      <c r="J69" s="29"/>
      <c r="K69" s="29"/>
      <c r="L69" s="29"/>
      <c r="M69" s="29"/>
      <c r="N69" s="29"/>
      <c r="O69" s="29"/>
      <c r="P69" s="29"/>
      <c r="Q69" s="29"/>
      <c r="R69" s="29"/>
      <c r="S69" s="29"/>
      <c r="T69" s="29"/>
      <c r="U69" s="29"/>
      <c r="V69" s="29"/>
      <c r="W69" s="29"/>
      <c r="X69" s="29"/>
      <c r="Y69" s="29"/>
    </row>
    <row r="70" spans="1:25" ht="14.25" customHeight="1" x14ac:dyDescent="0.3">
      <c r="A70" s="29"/>
      <c r="B70" s="29"/>
      <c r="C70" s="29"/>
      <c r="D70" s="29"/>
      <c r="E70" s="29"/>
      <c r="F70" s="29"/>
      <c r="G70" s="29"/>
      <c r="H70" s="29"/>
      <c r="I70" s="29"/>
      <c r="J70" s="29"/>
      <c r="K70" s="29"/>
      <c r="L70" s="29"/>
      <c r="M70" s="29"/>
      <c r="N70" s="29"/>
      <c r="O70" s="29"/>
      <c r="P70" s="29"/>
      <c r="Q70" s="29"/>
      <c r="R70" s="29"/>
      <c r="S70" s="29"/>
      <c r="T70" s="29"/>
      <c r="U70" s="29"/>
      <c r="V70" s="29"/>
      <c r="W70" s="29"/>
      <c r="X70" s="29"/>
      <c r="Y70" s="29"/>
    </row>
    <row r="71" spans="1:25" ht="14.25" customHeight="1" x14ac:dyDescent="0.3">
      <c r="A71" s="29"/>
      <c r="B71" s="29"/>
      <c r="C71" s="29"/>
      <c r="D71" s="29"/>
      <c r="E71" s="29"/>
      <c r="F71" s="29"/>
      <c r="G71" s="29"/>
      <c r="H71" s="29"/>
      <c r="I71" s="29"/>
      <c r="J71" s="29"/>
      <c r="K71" s="29"/>
      <c r="L71" s="29"/>
      <c r="M71" s="29"/>
      <c r="N71" s="29"/>
      <c r="O71" s="29"/>
      <c r="P71" s="29"/>
      <c r="Q71" s="29"/>
      <c r="R71" s="29"/>
      <c r="S71" s="29"/>
      <c r="T71" s="29"/>
      <c r="U71" s="29"/>
      <c r="V71" s="29"/>
      <c r="W71" s="29"/>
      <c r="X71" s="29"/>
      <c r="Y71" s="29"/>
    </row>
    <row r="72" spans="1:25" ht="14.25" customHeight="1" x14ac:dyDescent="0.3">
      <c r="A72" s="29"/>
      <c r="B72" s="29"/>
      <c r="C72" s="29"/>
      <c r="D72" s="29"/>
      <c r="E72" s="29"/>
      <c r="F72" s="29"/>
      <c r="G72" s="29"/>
      <c r="H72" s="29"/>
      <c r="I72" s="29"/>
      <c r="J72" s="29"/>
      <c r="K72" s="29"/>
      <c r="L72" s="29"/>
      <c r="M72" s="29"/>
      <c r="N72" s="29"/>
      <c r="O72" s="29"/>
      <c r="P72" s="29"/>
      <c r="Q72" s="29"/>
      <c r="R72" s="29"/>
      <c r="S72" s="29"/>
      <c r="T72" s="29"/>
      <c r="U72" s="29"/>
      <c r="V72" s="29"/>
      <c r="W72" s="29"/>
      <c r="X72" s="29"/>
      <c r="Y72" s="29"/>
    </row>
    <row r="73" spans="1:25" ht="14.25" customHeight="1" x14ac:dyDescent="0.3">
      <c r="A73" s="29"/>
      <c r="B73" s="29"/>
      <c r="C73" s="29"/>
      <c r="D73" s="29"/>
      <c r="E73" s="29"/>
      <c r="F73" s="29"/>
      <c r="G73" s="29"/>
      <c r="H73" s="29"/>
      <c r="I73" s="29"/>
      <c r="J73" s="29"/>
      <c r="K73" s="29"/>
      <c r="L73" s="29"/>
      <c r="M73" s="29"/>
      <c r="N73" s="29"/>
      <c r="O73" s="29"/>
      <c r="P73" s="29"/>
      <c r="Q73" s="29"/>
      <c r="R73" s="29"/>
      <c r="S73" s="29"/>
      <c r="T73" s="29"/>
      <c r="U73" s="29"/>
      <c r="V73" s="29"/>
      <c r="W73" s="29"/>
      <c r="X73" s="29"/>
      <c r="Y73" s="29"/>
    </row>
    <row r="74" spans="1:25" ht="14.25" customHeight="1" x14ac:dyDescent="0.3">
      <c r="A74" s="29"/>
      <c r="B74" s="29"/>
      <c r="C74" s="29"/>
      <c r="D74" s="29"/>
      <c r="E74" s="29"/>
      <c r="F74" s="29"/>
      <c r="G74" s="29"/>
      <c r="H74" s="29"/>
      <c r="I74" s="29"/>
      <c r="J74" s="29"/>
      <c r="K74" s="29"/>
      <c r="L74" s="29"/>
      <c r="M74" s="29"/>
      <c r="N74" s="29"/>
      <c r="O74" s="29"/>
      <c r="P74" s="29"/>
      <c r="Q74" s="29"/>
      <c r="R74" s="29"/>
      <c r="S74" s="29"/>
      <c r="T74" s="29"/>
      <c r="U74" s="29"/>
      <c r="V74" s="29"/>
      <c r="W74" s="29"/>
      <c r="X74" s="29"/>
      <c r="Y74" s="29"/>
    </row>
    <row r="75" spans="1:25" ht="14.25" customHeight="1" x14ac:dyDescent="0.3">
      <c r="A75" s="29"/>
      <c r="B75" s="29"/>
      <c r="C75" s="29"/>
      <c r="D75" s="29"/>
      <c r="E75" s="29"/>
      <c r="F75" s="29"/>
      <c r="G75" s="29"/>
      <c r="H75" s="29"/>
      <c r="I75" s="29"/>
      <c r="J75" s="29"/>
      <c r="K75" s="29"/>
      <c r="L75" s="29"/>
      <c r="M75" s="29"/>
      <c r="N75" s="29"/>
      <c r="O75" s="29"/>
      <c r="P75" s="29"/>
      <c r="Q75" s="29"/>
      <c r="R75" s="29"/>
      <c r="S75" s="29"/>
      <c r="T75" s="29"/>
      <c r="U75" s="29"/>
      <c r="V75" s="29"/>
      <c r="W75" s="29"/>
      <c r="X75" s="29"/>
      <c r="Y75" s="29"/>
    </row>
    <row r="76" spans="1:25" ht="14.25" customHeight="1" x14ac:dyDescent="0.3">
      <c r="A76" s="29"/>
      <c r="B76" s="29"/>
      <c r="C76" s="29"/>
      <c r="D76" s="29"/>
      <c r="E76" s="29"/>
      <c r="F76" s="29"/>
      <c r="G76" s="29"/>
      <c r="H76" s="29"/>
      <c r="I76" s="29"/>
      <c r="J76" s="29"/>
      <c r="K76" s="29"/>
      <c r="L76" s="29"/>
      <c r="M76" s="29"/>
      <c r="N76" s="29"/>
      <c r="O76" s="29"/>
      <c r="P76" s="29"/>
      <c r="Q76" s="29"/>
      <c r="R76" s="29"/>
      <c r="S76" s="29"/>
      <c r="T76" s="29"/>
      <c r="U76" s="29"/>
      <c r="V76" s="29"/>
      <c r="W76" s="29"/>
      <c r="X76" s="29"/>
      <c r="Y76" s="29"/>
    </row>
    <row r="77" spans="1:25" ht="14.25" customHeight="1" x14ac:dyDescent="0.3">
      <c r="A77" s="29"/>
      <c r="B77" s="29"/>
      <c r="C77" s="29"/>
      <c r="D77" s="29"/>
      <c r="E77" s="29"/>
      <c r="F77" s="29"/>
      <c r="G77" s="29"/>
      <c r="H77" s="29"/>
      <c r="I77" s="29"/>
      <c r="J77" s="29"/>
      <c r="K77" s="29"/>
      <c r="L77" s="29"/>
      <c r="M77" s="29"/>
      <c r="N77" s="29"/>
      <c r="O77" s="29"/>
      <c r="P77" s="29"/>
      <c r="Q77" s="29"/>
      <c r="R77" s="29"/>
      <c r="S77" s="29"/>
      <c r="T77" s="29"/>
      <c r="U77" s="29"/>
      <c r="V77" s="29"/>
      <c r="W77" s="29"/>
      <c r="X77" s="29"/>
      <c r="Y77" s="29"/>
    </row>
    <row r="78" spans="1:25" ht="14.25" customHeight="1" x14ac:dyDescent="0.3">
      <c r="A78" s="29"/>
      <c r="B78" s="29"/>
      <c r="C78" s="29"/>
      <c r="D78" s="29"/>
      <c r="E78" s="29"/>
      <c r="F78" s="29"/>
      <c r="G78" s="29"/>
      <c r="H78" s="29"/>
      <c r="I78" s="29"/>
      <c r="J78" s="29"/>
      <c r="K78" s="29"/>
      <c r="L78" s="29"/>
      <c r="M78" s="29"/>
      <c r="N78" s="29"/>
      <c r="O78" s="29"/>
      <c r="P78" s="29"/>
      <c r="Q78" s="29"/>
      <c r="R78" s="29"/>
      <c r="S78" s="29"/>
      <c r="T78" s="29"/>
      <c r="U78" s="29"/>
      <c r="V78" s="29"/>
      <c r="W78" s="29"/>
      <c r="X78" s="29"/>
      <c r="Y78" s="29"/>
    </row>
    <row r="79" spans="1:25" ht="14.25" customHeight="1" x14ac:dyDescent="0.3">
      <c r="A79" s="29"/>
      <c r="B79" s="29"/>
      <c r="C79" s="29"/>
      <c r="D79" s="29"/>
      <c r="E79" s="29"/>
      <c r="F79" s="29"/>
      <c r="G79" s="29"/>
      <c r="H79" s="29"/>
      <c r="I79" s="29"/>
      <c r="J79" s="29"/>
      <c r="K79" s="29"/>
      <c r="L79" s="29"/>
      <c r="M79" s="29"/>
      <c r="N79" s="29"/>
      <c r="O79" s="29"/>
      <c r="P79" s="29"/>
      <c r="Q79" s="29"/>
      <c r="R79" s="29"/>
      <c r="S79" s="29"/>
      <c r="T79" s="29"/>
      <c r="U79" s="29"/>
      <c r="V79" s="29"/>
      <c r="W79" s="29"/>
      <c r="X79" s="29"/>
      <c r="Y79" s="29"/>
    </row>
    <row r="80" spans="1:25" ht="14.25" customHeight="1" x14ac:dyDescent="0.3">
      <c r="A80" s="29"/>
      <c r="B80" s="29"/>
      <c r="C80" s="29"/>
      <c r="D80" s="29"/>
      <c r="E80" s="29"/>
      <c r="F80" s="29"/>
      <c r="G80" s="29"/>
      <c r="H80" s="29"/>
      <c r="I80" s="29"/>
      <c r="J80" s="29"/>
      <c r="K80" s="29"/>
      <c r="L80" s="29"/>
      <c r="M80" s="29"/>
      <c r="N80" s="29"/>
      <c r="O80" s="29"/>
      <c r="P80" s="29"/>
      <c r="Q80" s="29"/>
      <c r="R80" s="29"/>
      <c r="S80" s="29"/>
      <c r="T80" s="29"/>
      <c r="U80" s="29"/>
      <c r="V80" s="29"/>
      <c r="W80" s="29"/>
      <c r="X80" s="29"/>
      <c r="Y80" s="29"/>
    </row>
    <row r="81" spans="1:25" ht="14.25" customHeight="1" x14ac:dyDescent="0.3">
      <c r="A81" s="29"/>
      <c r="B81" s="29"/>
      <c r="C81" s="29"/>
      <c r="D81" s="29"/>
      <c r="E81" s="29"/>
      <c r="F81" s="29"/>
      <c r="G81" s="29"/>
      <c r="H81" s="29"/>
      <c r="I81" s="29"/>
      <c r="J81" s="29"/>
      <c r="K81" s="29"/>
      <c r="L81" s="29"/>
      <c r="M81" s="29"/>
      <c r="N81" s="29"/>
      <c r="O81" s="29"/>
      <c r="P81" s="29"/>
      <c r="Q81" s="29"/>
      <c r="R81" s="29"/>
      <c r="S81" s="29"/>
      <c r="T81" s="29"/>
      <c r="U81" s="29"/>
      <c r="V81" s="29"/>
      <c r="W81" s="29"/>
      <c r="X81" s="29"/>
      <c r="Y81" s="29"/>
    </row>
    <row r="82" spans="1:25" ht="14.25" customHeight="1" x14ac:dyDescent="0.3">
      <c r="A82" s="29"/>
      <c r="B82" s="29"/>
      <c r="C82" s="29"/>
      <c r="D82" s="29"/>
      <c r="E82" s="29"/>
      <c r="F82" s="29"/>
      <c r="G82" s="29"/>
      <c r="H82" s="29"/>
      <c r="I82" s="29"/>
      <c r="J82" s="29"/>
      <c r="K82" s="29"/>
      <c r="L82" s="29"/>
      <c r="M82" s="29"/>
      <c r="N82" s="29"/>
      <c r="O82" s="29"/>
      <c r="P82" s="29"/>
      <c r="Q82" s="29"/>
      <c r="R82" s="29"/>
      <c r="S82" s="29"/>
      <c r="T82" s="29"/>
      <c r="U82" s="29"/>
      <c r="V82" s="29"/>
      <c r="W82" s="29"/>
      <c r="X82" s="29"/>
      <c r="Y82" s="29"/>
    </row>
    <row r="83" spans="1:25" ht="14.25" customHeight="1" x14ac:dyDescent="0.3">
      <c r="A83" s="29"/>
      <c r="B83" s="29"/>
      <c r="C83" s="29"/>
      <c r="D83" s="29"/>
      <c r="E83" s="29"/>
      <c r="F83" s="29"/>
      <c r="G83" s="29"/>
      <c r="H83" s="29"/>
      <c r="I83" s="29"/>
      <c r="J83" s="29"/>
      <c r="K83" s="29"/>
      <c r="L83" s="29"/>
      <c r="M83" s="29"/>
      <c r="N83" s="29"/>
      <c r="O83" s="29"/>
      <c r="P83" s="29"/>
      <c r="Q83" s="29"/>
      <c r="R83" s="29"/>
      <c r="S83" s="29"/>
      <c r="T83" s="29"/>
      <c r="U83" s="29"/>
      <c r="V83" s="29"/>
      <c r="W83" s="29"/>
      <c r="X83" s="29"/>
      <c r="Y83" s="29"/>
    </row>
    <row r="84" spans="1:25" ht="14.25" customHeight="1" x14ac:dyDescent="0.3">
      <c r="A84" s="29"/>
      <c r="B84" s="29"/>
      <c r="C84" s="29"/>
      <c r="D84" s="29"/>
      <c r="E84" s="29"/>
      <c r="F84" s="29"/>
      <c r="G84" s="29"/>
      <c r="H84" s="29"/>
      <c r="I84" s="29"/>
      <c r="J84" s="29"/>
      <c r="K84" s="29"/>
      <c r="L84" s="29"/>
      <c r="M84" s="29"/>
      <c r="N84" s="29"/>
      <c r="O84" s="29"/>
      <c r="P84" s="29"/>
      <c r="Q84" s="29"/>
      <c r="R84" s="29"/>
      <c r="S84" s="29"/>
      <c r="T84" s="29"/>
      <c r="U84" s="29"/>
      <c r="V84" s="29"/>
      <c r="W84" s="29"/>
      <c r="X84" s="29"/>
      <c r="Y84" s="29"/>
    </row>
    <row r="85" spans="1:25" ht="14.25" customHeight="1" x14ac:dyDescent="0.3">
      <c r="A85" s="29"/>
      <c r="B85" s="29"/>
      <c r="C85" s="29"/>
      <c r="D85" s="29"/>
      <c r="E85" s="29"/>
      <c r="F85" s="29"/>
      <c r="G85" s="29"/>
      <c r="H85" s="29"/>
      <c r="I85" s="29"/>
      <c r="J85" s="29"/>
      <c r="K85" s="29"/>
      <c r="L85" s="29"/>
      <c r="M85" s="29"/>
      <c r="N85" s="29"/>
      <c r="O85" s="29"/>
      <c r="P85" s="29"/>
      <c r="Q85" s="29"/>
      <c r="R85" s="29"/>
      <c r="S85" s="29"/>
      <c r="T85" s="29"/>
      <c r="U85" s="29"/>
      <c r="V85" s="29"/>
      <c r="W85" s="29"/>
      <c r="X85" s="29"/>
      <c r="Y85" s="29"/>
    </row>
    <row r="86" spans="1:25" ht="14.25" customHeight="1" x14ac:dyDescent="0.3">
      <c r="A86" s="29"/>
      <c r="B86" s="29"/>
      <c r="C86" s="29"/>
      <c r="D86" s="29"/>
      <c r="E86" s="29"/>
      <c r="F86" s="29"/>
      <c r="G86" s="29"/>
      <c r="H86" s="29"/>
      <c r="I86" s="29"/>
      <c r="J86" s="29"/>
      <c r="K86" s="29"/>
      <c r="L86" s="29"/>
      <c r="M86" s="29"/>
      <c r="N86" s="29"/>
      <c r="O86" s="29"/>
      <c r="P86" s="29"/>
      <c r="Q86" s="29"/>
      <c r="R86" s="29"/>
      <c r="S86" s="29"/>
      <c r="T86" s="29"/>
      <c r="U86" s="29"/>
      <c r="V86" s="29"/>
      <c r="W86" s="29"/>
      <c r="X86" s="29"/>
      <c r="Y86" s="29"/>
    </row>
    <row r="87" spans="1:25" ht="14.25" customHeight="1" x14ac:dyDescent="0.3">
      <c r="A87" s="29"/>
      <c r="B87" s="29"/>
      <c r="C87" s="29"/>
      <c r="D87" s="29"/>
      <c r="E87" s="29"/>
      <c r="F87" s="29"/>
      <c r="G87" s="29"/>
      <c r="H87" s="29"/>
      <c r="I87" s="29"/>
      <c r="J87" s="29"/>
      <c r="K87" s="29"/>
      <c r="L87" s="29"/>
      <c r="M87" s="29"/>
      <c r="N87" s="29"/>
      <c r="O87" s="29"/>
      <c r="P87" s="29"/>
      <c r="Q87" s="29"/>
      <c r="R87" s="29"/>
      <c r="S87" s="29"/>
      <c r="T87" s="29"/>
      <c r="U87" s="29"/>
      <c r="V87" s="29"/>
      <c r="W87" s="29"/>
      <c r="X87" s="29"/>
      <c r="Y87" s="29"/>
    </row>
    <row r="88" spans="1:25" ht="14.25" customHeight="1" x14ac:dyDescent="0.3">
      <c r="A88" s="29"/>
      <c r="B88" s="29"/>
      <c r="C88" s="29"/>
      <c r="D88" s="29"/>
      <c r="E88" s="29"/>
      <c r="F88" s="29"/>
      <c r="G88" s="29"/>
      <c r="H88" s="29"/>
      <c r="I88" s="29"/>
      <c r="J88" s="29"/>
      <c r="K88" s="29"/>
      <c r="L88" s="29"/>
      <c r="M88" s="29"/>
      <c r="N88" s="29"/>
      <c r="O88" s="29"/>
      <c r="P88" s="29"/>
      <c r="Q88" s="29"/>
      <c r="R88" s="29"/>
      <c r="S88" s="29"/>
      <c r="T88" s="29"/>
      <c r="U88" s="29"/>
      <c r="V88" s="29"/>
      <c r="W88" s="29"/>
      <c r="X88" s="29"/>
      <c r="Y88" s="29"/>
    </row>
    <row r="89" spans="1:25" ht="14.25" customHeight="1" x14ac:dyDescent="0.3">
      <c r="A89" s="29"/>
      <c r="B89" s="29"/>
      <c r="C89" s="29"/>
      <c r="D89" s="29"/>
      <c r="E89" s="29"/>
      <c r="F89" s="29"/>
      <c r="G89" s="29"/>
      <c r="H89" s="29"/>
      <c r="I89" s="29"/>
      <c r="J89" s="29"/>
      <c r="K89" s="29"/>
      <c r="L89" s="29"/>
      <c r="M89" s="29"/>
      <c r="N89" s="29"/>
      <c r="O89" s="29"/>
      <c r="P89" s="29"/>
      <c r="Q89" s="29"/>
      <c r="R89" s="29"/>
      <c r="S89" s="29"/>
      <c r="T89" s="29"/>
      <c r="U89" s="29"/>
      <c r="V89" s="29"/>
      <c r="W89" s="29"/>
      <c r="X89" s="29"/>
      <c r="Y89" s="29"/>
    </row>
    <row r="90" spans="1:25" ht="14.25" customHeight="1" x14ac:dyDescent="0.3">
      <c r="A90" s="29"/>
      <c r="B90" s="29"/>
      <c r="C90" s="29"/>
      <c r="D90" s="29"/>
      <c r="E90" s="29"/>
      <c r="F90" s="29"/>
      <c r="G90" s="29"/>
      <c r="H90" s="29"/>
      <c r="I90" s="29"/>
      <c r="J90" s="29"/>
      <c r="K90" s="29"/>
      <c r="L90" s="29"/>
      <c r="M90" s="29"/>
      <c r="N90" s="29"/>
      <c r="O90" s="29"/>
      <c r="P90" s="29"/>
      <c r="Q90" s="29"/>
      <c r="R90" s="29"/>
      <c r="S90" s="29"/>
      <c r="T90" s="29"/>
      <c r="U90" s="29"/>
      <c r="V90" s="29"/>
      <c r="W90" s="29"/>
      <c r="X90" s="29"/>
      <c r="Y90" s="29"/>
    </row>
    <row r="91" spans="1:25" ht="14.25" customHeight="1" x14ac:dyDescent="0.3">
      <c r="A91" s="29"/>
      <c r="B91" s="29"/>
      <c r="C91" s="29"/>
      <c r="D91" s="29"/>
      <c r="E91" s="29"/>
      <c r="F91" s="29"/>
      <c r="G91" s="29"/>
      <c r="H91" s="29"/>
      <c r="I91" s="29"/>
      <c r="J91" s="29"/>
      <c r="K91" s="29"/>
      <c r="L91" s="29"/>
      <c r="M91" s="29"/>
      <c r="N91" s="29"/>
      <c r="O91" s="29"/>
      <c r="P91" s="29"/>
      <c r="Q91" s="29"/>
      <c r="R91" s="29"/>
      <c r="S91" s="29"/>
      <c r="T91" s="29"/>
      <c r="U91" s="29"/>
      <c r="V91" s="29"/>
      <c r="W91" s="29"/>
      <c r="X91" s="29"/>
      <c r="Y91" s="29"/>
    </row>
    <row r="92" spans="1:25" ht="14.25" customHeight="1" x14ac:dyDescent="0.3">
      <c r="A92" s="29"/>
      <c r="B92" s="29"/>
      <c r="C92" s="29"/>
      <c r="D92" s="29"/>
      <c r="E92" s="29"/>
      <c r="F92" s="29"/>
      <c r="G92" s="29"/>
      <c r="H92" s="29"/>
      <c r="I92" s="29"/>
      <c r="J92" s="29"/>
      <c r="K92" s="29"/>
      <c r="L92" s="29"/>
      <c r="M92" s="29"/>
      <c r="N92" s="29"/>
      <c r="O92" s="29"/>
      <c r="P92" s="29"/>
      <c r="Q92" s="29"/>
      <c r="R92" s="29"/>
      <c r="S92" s="29"/>
      <c r="T92" s="29"/>
      <c r="U92" s="29"/>
      <c r="V92" s="29"/>
      <c r="W92" s="29"/>
      <c r="X92" s="29"/>
      <c r="Y92" s="29"/>
    </row>
    <row r="93" spans="1:25" ht="14.25" customHeight="1" x14ac:dyDescent="0.3">
      <c r="A93" s="29"/>
      <c r="B93" s="29"/>
      <c r="C93" s="29"/>
      <c r="D93" s="29"/>
      <c r="E93" s="29"/>
      <c r="F93" s="29"/>
      <c r="G93" s="29"/>
      <c r="H93" s="29"/>
      <c r="I93" s="29"/>
      <c r="J93" s="29"/>
      <c r="K93" s="29"/>
      <c r="L93" s="29"/>
      <c r="M93" s="29"/>
      <c r="N93" s="29"/>
      <c r="O93" s="29"/>
      <c r="P93" s="29"/>
      <c r="Q93" s="29"/>
      <c r="R93" s="29"/>
      <c r="S93" s="29"/>
      <c r="T93" s="29"/>
      <c r="U93" s="29"/>
      <c r="V93" s="29"/>
      <c r="W93" s="29"/>
      <c r="X93" s="29"/>
      <c r="Y93" s="29"/>
    </row>
    <row r="94" spans="1:25" ht="14.25" customHeight="1" x14ac:dyDescent="0.3">
      <c r="A94" s="29"/>
      <c r="B94" s="29"/>
      <c r="C94" s="29"/>
      <c r="D94" s="29"/>
      <c r="E94" s="29"/>
      <c r="F94" s="29"/>
      <c r="G94" s="29"/>
      <c r="H94" s="29"/>
      <c r="I94" s="29"/>
      <c r="J94" s="29"/>
      <c r="K94" s="29"/>
      <c r="L94" s="29"/>
      <c r="M94" s="29"/>
      <c r="N94" s="29"/>
      <c r="O94" s="29"/>
      <c r="P94" s="29"/>
      <c r="Q94" s="29"/>
      <c r="R94" s="29"/>
      <c r="S94" s="29"/>
      <c r="T94" s="29"/>
      <c r="U94" s="29"/>
      <c r="V94" s="29"/>
      <c r="W94" s="29"/>
      <c r="X94" s="29"/>
      <c r="Y94" s="29"/>
    </row>
    <row r="95" spans="1:25" ht="14.25" customHeight="1" x14ac:dyDescent="0.3">
      <c r="A95" s="29"/>
      <c r="B95" s="29"/>
      <c r="C95" s="29"/>
      <c r="D95" s="29"/>
      <c r="E95" s="29"/>
      <c r="F95" s="29"/>
      <c r="G95" s="29"/>
      <c r="H95" s="29"/>
      <c r="I95" s="29"/>
      <c r="J95" s="29"/>
      <c r="K95" s="29"/>
      <c r="L95" s="29"/>
      <c r="M95" s="29"/>
      <c r="N95" s="29"/>
      <c r="O95" s="29"/>
      <c r="P95" s="29"/>
      <c r="Q95" s="29"/>
      <c r="R95" s="29"/>
      <c r="S95" s="29"/>
      <c r="T95" s="29"/>
      <c r="U95" s="29"/>
      <c r="V95" s="29"/>
      <c r="W95" s="29"/>
      <c r="X95" s="29"/>
      <c r="Y95" s="29"/>
    </row>
    <row r="96" spans="1:25" ht="14.25" customHeight="1" x14ac:dyDescent="0.3">
      <c r="A96" s="29"/>
      <c r="B96" s="29"/>
      <c r="C96" s="29"/>
      <c r="D96" s="29"/>
      <c r="E96" s="29"/>
      <c r="F96" s="29"/>
      <c r="G96" s="29"/>
      <c r="H96" s="29"/>
      <c r="I96" s="29"/>
      <c r="J96" s="29"/>
      <c r="K96" s="29"/>
      <c r="L96" s="29"/>
      <c r="M96" s="29"/>
      <c r="N96" s="29"/>
      <c r="O96" s="29"/>
      <c r="P96" s="29"/>
      <c r="Q96" s="29"/>
      <c r="R96" s="29"/>
      <c r="S96" s="29"/>
      <c r="T96" s="29"/>
      <c r="U96" s="29"/>
      <c r="V96" s="29"/>
      <c r="W96" s="29"/>
      <c r="X96" s="29"/>
      <c r="Y96" s="29"/>
    </row>
    <row r="97" spans="1:25" ht="14.25" customHeight="1" x14ac:dyDescent="0.3">
      <c r="A97" s="29"/>
      <c r="B97" s="29"/>
      <c r="C97" s="29"/>
      <c r="D97" s="29"/>
      <c r="E97" s="29"/>
      <c r="F97" s="29"/>
      <c r="G97" s="29"/>
      <c r="H97" s="29"/>
      <c r="I97" s="29"/>
      <c r="J97" s="29"/>
      <c r="K97" s="29"/>
      <c r="L97" s="29"/>
      <c r="M97" s="29"/>
      <c r="N97" s="29"/>
      <c r="O97" s="29"/>
      <c r="P97" s="29"/>
      <c r="Q97" s="29"/>
      <c r="R97" s="29"/>
      <c r="S97" s="29"/>
      <c r="T97" s="29"/>
      <c r="U97" s="29"/>
      <c r="V97" s="29"/>
      <c r="W97" s="29"/>
      <c r="X97" s="29"/>
      <c r="Y97" s="29"/>
    </row>
    <row r="98" spans="1:25" ht="14.25" customHeight="1" x14ac:dyDescent="0.3">
      <c r="A98" s="29"/>
      <c r="B98" s="29"/>
      <c r="C98" s="29"/>
      <c r="D98" s="29"/>
      <c r="E98" s="29"/>
      <c r="F98" s="29"/>
      <c r="G98" s="29"/>
      <c r="H98" s="29"/>
      <c r="I98" s="29"/>
      <c r="J98" s="29"/>
      <c r="K98" s="29"/>
      <c r="L98" s="29"/>
      <c r="M98" s="29"/>
      <c r="N98" s="29"/>
      <c r="O98" s="29"/>
      <c r="P98" s="29"/>
      <c r="Q98" s="29"/>
      <c r="R98" s="29"/>
      <c r="S98" s="29"/>
      <c r="T98" s="29"/>
      <c r="U98" s="29"/>
      <c r="V98" s="29"/>
      <c r="W98" s="29"/>
      <c r="X98" s="29"/>
      <c r="Y98" s="29"/>
    </row>
    <row r="99" spans="1:25" ht="14.25" customHeight="1" x14ac:dyDescent="0.3">
      <c r="A99" s="29"/>
      <c r="B99" s="29"/>
      <c r="C99" s="29"/>
      <c r="D99" s="29"/>
      <c r="E99" s="29"/>
      <c r="F99" s="29"/>
      <c r="G99" s="29"/>
      <c r="H99" s="29"/>
      <c r="I99" s="29"/>
      <c r="J99" s="29"/>
      <c r="K99" s="29"/>
      <c r="L99" s="29"/>
      <c r="M99" s="29"/>
      <c r="N99" s="29"/>
      <c r="O99" s="29"/>
      <c r="P99" s="29"/>
      <c r="Q99" s="29"/>
      <c r="R99" s="29"/>
      <c r="S99" s="29"/>
      <c r="T99" s="29"/>
      <c r="U99" s="29"/>
      <c r="V99" s="29"/>
      <c r="W99" s="29"/>
      <c r="X99" s="29"/>
      <c r="Y99" s="29"/>
    </row>
    <row r="100" spans="1:25" ht="14.25" customHeight="1" x14ac:dyDescent="0.3">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row>
    <row r="101" spans="1:25" ht="14.25" customHeight="1" x14ac:dyDescent="0.3">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row>
    <row r="102" spans="1:25" ht="14.25" customHeight="1" x14ac:dyDescent="0.3">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row>
    <row r="103" spans="1:25" ht="14.25" customHeight="1" x14ac:dyDescent="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row>
    <row r="104" spans="1:25" ht="14.25" customHeight="1" x14ac:dyDescent="0.3">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row>
    <row r="105" spans="1:25" ht="14.25" customHeight="1" x14ac:dyDescent="0.3">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row>
    <row r="106" spans="1:25" ht="14.25" customHeight="1" x14ac:dyDescent="0.3">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row>
    <row r="107" spans="1:25" ht="14.25" customHeight="1" x14ac:dyDescent="0.3">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row>
    <row r="108" spans="1:25" ht="14.25" customHeight="1" x14ac:dyDescent="0.3">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row>
    <row r="109" spans="1:25" ht="14.25" customHeight="1" x14ac:dyDescent="0.3">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row>
    <row r="110" spans="1:25" ht="14.25" customHeight="1" x14ac:dyDescent="0.3">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row>
    <row r="111" spans="1:25" ht="14.25" customHeight="1" x14ac:dyDescent="0.3">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row>
    <row r="112" spans="1:25" ht="14.25" customHeight="1" x14ac:dyDescent="0.3">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row>
    <row r="113" spans="1:25" ht="14.25" customHeight="1" x14ac:dyDescent="0.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row>
    <row r="114" spans="1:25" ht="14.25" customHeight="1" x14ac:dyDescent="0.3">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row>
    <row r="115" spans="1:25" ht="14.25" customHeight="1" x14ac:dyDescent="0.3">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row>
    <row r="116" spans="1:25" ht="14.25" customHeight="1" x14ac:dyDescent="0.3">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row>
    <row r="117" spans="1:25" ht="14.25" customHeight="1" x14ac:dyDescent="0.3">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row>
    <row r="118" spans="1:25" ht="14.25" customHeight="1" x14ac:dyDescent="0.3">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row>
    <row r="119" spans="1:25" ht="14.25" customHeight="1" x14ac:dyDescent="0.3">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row>
    <row r="120" spans="1:25" ht="14.25" customHeight="1" x14ac:dyDescent="0.3">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row>
    <row r="121" spans="1:25" ht="14.25" customHeight="1" x14ac:dyDescent="0.3">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row>
    <row r="122" spans="1:25" ht="14.25" customHeight="1" x14ac:dyDescent="0.3">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row>
    <row r="123" spans="1:25" ht="14.25" customHeight="1" x14ac:dyDescent="0.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row>
    <row r="124" spans="1:25" ht="14.25" customHeight="1" x14ac:dyDescent="0.3">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row>
    <row r="125" spans="1:25" ht="14.25" customHeight="1" x14ac:dyDescent="0.3">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row>
    <row r="126" spans="1:25" ht="14.25" customHeight="1" x14ac:dyDescent="0.3">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row>
    <row r="127" spans="1:25" ht="14.25" customHeight="1" x14ac:dyDescent="0.3">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row>
    <row r="128" spans="1:25" ht="14.25" customHeight="1" x14ac:dyDescent="0.3">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row>
    <row r="129" spans="1:25" ht="14.25" customHeight="1" x14ac:dyDescent="0.3">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row>
    <row r="130" spans="1:25" ht="14.25" customHeight="1" x14ac:dyDescent="0.3">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row>
    <row r="131" spans="1:25" ht="14.25" customHeight="1" x14ac:dyDescent="0.3">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row>
    <row r="132" spans="1:25" ht="14.25" customHeight="1" x14ac:dyDescent="0.3">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row>
    <row r="133" spans="1:25" ht="14.25" customHeight="1" x14ac:dyDescent="0.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row>
    <row r="134" spans="1:25" ht="14.25" customHeight="1" x14ac:dyDescent="0.3">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row>
    <row r="135" spans="1:25" ht="14.25" customHeight="1" x14ac:dyDescent="0.3">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row>
    <row r="136" spans="1:25" ht="14.25" customHeight="1" x14ac:dyDescent="0.3">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row>
    <row r="137" spans="1:25" ht="14.25" customHeight="1" x14ac:dyDescent="0.3">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row>
    <row r="138" spans="1:25" ht="14.25" customHeight="1" x14ac:dyDescent="0.3">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row>
    <row r="139" spans="1:25" ht="14.25" customHeight="1" x14ac:dyDescent="0.3">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row>
    <row r="140" spans="1:25" ht="14.25" customHeight="1" x14ac:dyDescent="0.3">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row>
    <row r="141" spans="1:25" ht="14.25" customHeight="1" x14ac:dyDescent="0.3">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row>
    <row r="142" spans="1:25" ht="14.25" customHeight="1" x14ac:dyDescent="0.3">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row>
    <row r="143" spans="1:25" ht="14.25" customHeight="1" x14ac:dyDescent="0.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row>
    <row r="144" spans="1:25" ht="14.25" customHeight="1" x14ac:dyDescent="0.3">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row>
    <row r="145" spans="1:25" ht="14.25" customHeight="1" x14ac:dyDescent="0.3">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row>
    <row r="146" spans="1:25" ht="14.25" customHeight="1" x14ac:dyDescent="0.3">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row>
    <row r="147" spans="1:25" ht="14.25" customHeight="1" x14ac:dyDescent="0.3">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row>
    <row r="148" spans="1:25" ht="14.25" customHeight="1" x14ac:dyDescent="0.3">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row>
    <row r="149" spans="1:25" ht="14.25" customHeight="1" x14ac:dyDescent="0.3">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row>
    <row r="150" spans="1:25" ht="14.25" customHeight="1" x14ac:dyDescent="0.3">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row>
    <row r="151" spans="1:25" ht="14.25" customHeight="1" x14ac:dyDescent="0.3">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row>
    <row r="152" spans="1:25" ht="14.25" customHeight="1" x14ac:dyDescent="0.3">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row>
    <row r="153" spans="1:25" ht="14.25" customHeight="1" x14ac:dyDescent="0.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row>
    <row r="154" spans="1:25" ht="14.25" customHeight="1" x14ac:dyDescent="0.3">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row>
    <row r="155" spans="1:25" ht="14.25" customHeight="1" x14ac:dyDescent="0.3">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row>
    <row r="156" spans="1:25" ht="14.25" customHeight="1" x14ac:dyDescent="0.3">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row>
    <row r="157" spans="1:25" ht="14.25" customHeight="1" x14ac:dyDescent="0.3">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row>
    <row r="158" spans="1:25" ht="14.25" customHeight="1" x14ac:dyDescent="0.3">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row>
    <row r="159" spans="1:25" ht="14.25" customHeight="1" x14ac:dyDescent="0.3">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row>
    <row r="160" spans="1:25" ht="14.25" customHeight="1" x14ac:dyDescent="0.3">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row>
    <row r="161" spans="1:25" ht="14.25" customHeight="1" x14ac:dyDescent="0.3">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row>
    <row r="162" spans="1:25" ht="14.25" customHeight="1" x14ac:dyDescent="0.3">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row>
    <row r="163" spans="1:25" ht="14.25" customHeight="1" x14ac:dyDescent="0.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row>
    <row r="164" spans="1:25" ht="14.25" customHeight="1" x14ac:dyDescent="0.3">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row>
    <row r="165" spans="1:25" ht="14.25" customHeight="1" x14ac:dyDescent="0.3">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row>
    <row r="166" spans="1:25" ht="14.25" customHeight="1" x14ac:dyDescent="0.3">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row>
    <row r="167" spans="1:25" ht="14.25" customHeight="1" x14ac:dyDescent="0.3">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row>
    <row r="168" spans="1:25" ht="14.25" customHeight="1" x14ac:dyDescent="0.3">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row>
    <row r="169" spans="1:25" ht="14.25" customHeight="1" x14ac:dyDescent="0.3">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row>
    <row r="170" spans="1:25" ht="14.25" customHeight="1" x14ac:dyDescent="0.3">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row>
    <row r="171" spans="1:25" ht="14.25" customHeight="1" x14ac:dyDescent="0.3">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row>
    <row r="172" spans="1:25" ht="14.25" customHeight="1" x14ac:dyDescent="0.3">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row>
    <row r="173" spans="1:25" ht="14.25" customHeight="1" x14ac:dyDescent="0.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row>
    <row r="174" spans="1:25" ht="14.25" customHeight="1" x14ac:dyDescent="0.3">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row>
    <row r="175" spans="1:25" ht="14.25" customHeight="1" x14ac:dyDescent="0.3">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row>
    <row r="176" spans="1:25" ht="14.25" customHeight="1" x14ac:dyDescent="0.3">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row>
    <row r="177" spans="1:25" ht="14.25" customHeight="1" x14ac:dyDescent="0.3">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row>
    <row r="178" spans="1:25" ht="14.25" customHeight="1" x14ac:dyDescent="0.3">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row>
    <row r="179" spans="1:25" ht="14.25" customHeight="1" x14ac:dyDescent="0.3">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row>
    <row r="180" spans="1:25" ht="14.25" customHeight="1" x14ac:dyDescent="0.3">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row>
    <row r="181" spans="1:25" ht="14.25" customHeight="1" x14ac:dyDescent="0.3">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row>
    <row r="182" spans="1:25" ht="14.25" customHeight="1" x14ac:dyDescent="0.3">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row>
    <row r="183" spans="1:25" ht="14.25" customHeight="1" x14ac:dyDescent="0.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row>
    <row r="184" spans="1:25" ht="14.25" customHeight="1" x14ac:dyDescent="0.3">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row>
    <row r="185" spans="1:25" ht="14.25" customHeight="1" x14ac:dyDescent="0.3">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row>
    <row r="186" spans="1:25" ht="14.25" customHeight="1" x14ac:dyDescent="0.3">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row>
    <row r="187" spans="1:25" ht="14.25" customHeight="1" x14ac:dyDescent="0.3">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row>
    <row r="188" spans="1:25" ht="14.25" customHeight="1" x14ac:dyDescent="0.3">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row>
    <row r="189" spans="1:25" ht="14.25" customHeight="1" x14ac:dyDescent="0.3">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row>
    <row r="190" spans="1:25" ht="14.25" customHeight="1" x14ac:dyDescent="0.3">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row>
    <row r="191" spans="1:25" ht="14.25" customHeight="1" x14ac:dyDescent="0.3">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row>
    <row r="192" spans="1:25" ht="14.25" customHeight="1" x14ac:dyDescent="0.3">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row>
    <row r="193" spans="1:25" ht="14.25" customHeight="1" x14ac:dyDescent="0.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row>
    <row r="194" spans="1:25" ht="14.25" customHeight="1" x14ac:dyDescent="0.3">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row>
    <row r="195" spans="1:25" ht="14.25" customHeight="1" x14ac:dyDescent="0.3">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row>
    <row r="196" spans="1:25" ht="14.25" customHeight="1" x14ac:dyDescent="0.3">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row>
    <row r="197" spans="1:25" ht="14.25" customHeight="1" x14ac:dyDescent="0.3">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row>
    <row r="198" spans="1:25" ht="14.25" customHeight="1" x14ac:dyDescent="0.3">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row>
    <row r="199" spans="1:25" ht="14.25" customHeight="1" x14ac:dyDescent="0.3">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row>
    <row r="200" spans="1:25" ht="14.25" customHeight="1" x14ac:dyDescent="0.3">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row>
    <row r="201" spans="1:25" ht="14.25" customHeight="1" x14ac:dyDescent="0.3">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row>
    <row r="202" spans="1:25" ht="14.25" customHeight="1" x14ac:dyDescent="0.3">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row>
    <row r="203" spans="1:25" ht="14.25" customHeight="1" x14ac:dyDescent="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row>
    <row r="204" spans="1:25" ht="14.25" customHeight="1" x14ac:dyDescent="0.3">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row>
    <row r="205" spans="1:25" ht="14.25" customHeight="1" x14ac:dyDescent="0.3">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row>
    <row r="206" spans="1:25" ht="14.25" customHeight="1" x14ac:dyDescent="0.3">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row>
    <row r="207" spans="1:25" ht="14.25" customHeight="1" x14ac:dyDescent="0.3">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row>
    <row r="208" spans="1:25" ht="14.25" customHeight="1" x14ac:dyDescent="0.3">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row>
    <row r="209" spans="1:25" ht="14.25" customHeight="1" x14ac:dyDescent="0.3">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row>
    <row r="210" spans="1:25" ht="14.25" customHeight="1" x14ac:dyDescent="0.3">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row>
    <row r="211" spans="1:25" ht="14.25" customHeight="1" x14ac:dyDescent="0.3">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row>
    <row r="212" spans="1:25" ht="14.25" customHeight="1" x14ac:dyDescent="0.3">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row>
    <row r="213" spans="1:25" ht="14.25" customHeight="1" x14ac:dyDescent="0.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row>
    <row r="214" spans="1:25" ht="14.25" customHeight="1" x14ac:dyDescent="0.3">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row>
    <row r="215" spans="1:25" ht="14.25" customHeight="1" x14ac:dyDescent="0.3">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row>
    <row r="216" spans="1:25" ht="14.25" customHeight="1" x14ac:dyDescent="0.3">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row>
    <row r="217" spans="1:25" ht="14.25" customHeight="1" x14ac:dyDescent="0.3">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row>
    <row r="218" spans="1:25" ht="14.25" customHeight="1" x14ac:dyDescent="0.3">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row>
    <row r="219" spans="1:25" ht="14.25" customHeight="1" x14ac:dyDescent="0.3">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row>
    <row r="220" spans="1:25" ht="14.25" customHeight="1" x14ac:dyDescent="0.3">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row>
    <row r="221" spans="1:25" ht="14.25" customHeight="1" x14ac:dyDescent="0.3">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row>
    <row r="222" spans="1:25" ht="14.25" customHeight="1" x14ac:dyDescent="0.3">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row>
    <row r="223" spans="1:25" ht="14.25" customHeight="1" x14ac:dyDescent="0.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row>
    <row r="224" spans="1:25" ht="14.25" customHeight="1" x14ac:dyDescent="0.3">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row>
    <row r="225" spans="1:25" ht="14.25" customHeight="1" x14ac:dyDescent="0.3">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row>
    <row r="226" spans="1:25" ht="14.25" customHeight="1" x14ac:dyDescent="0.3">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row>
    <row r="227" spans="1:25" ht="14.25" customHeight="1" x14ac:dyDescent="0.3">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row>
    <row r="228" spans="1:25" ht="14.25" customHeight="1" x14ac:dyDescent="0.3">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row>
    <row r="229" spans="1:25" ht="14.25" customHeight="1" x14ac:dyDescent="0.3">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row>
    <row r="230" spans="1:25" ht="14.25" customHeight="1" x14ac:dyDescent="0.3">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row>
    <row r="231" spans="1:25" ht="14.25" customHeight="1" x14ac:dyDescent="0.3">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row>
    <row r="232" spans="1:25" ht="14.25" customHeight="1" x14ac:dyDescent="0.3">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row>
    <row r="233" spans="1:25" ht="14.25" customHeight="1" x14ac:dyDescent="0.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row>
    <row r="234" spans="1:25" ht="14.25" customHeight="1" x14ac:dyDescent="0.3">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row>
    <row r="235" spans="1:25" ht="14.25" customHeight="1" x14ac:dyDescent="0.3">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row>
    <row r="236" spans="1:25" ht="14.25" customHeight="1" x14ac:dyDescent="0.3">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row>
    <row r="237" spans="1:25" ht="14.25" customHeight="1" x14ac:dyDescent="0.3">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row>
    <row r="238" spans="1:25" ht="14.25" customHeight="1" x14ac:dyDescent="0.3">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row>
    <row r="239" spans="1:25" ht="14.25" customHeight="1" x14ac:dyDescent="0.3">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row>
    <row r="240" spans="1:25" ht="14.25" customHeight="1" x14ac:dyDescent="0.3">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row>
    <row r="241" spans="1:25" ht="14.25" customHeight="1" x14ac:dyDescent="0.3">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row>
    <row r="242" spans="1:25" ht="14.25" customHeight="1" x14ac:dyDescent="0.3">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row>
    <row r="243" spans="1:25" ht="14.25" customHeight="1" x14ac:dyDescent="0.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row>
    <row r="244" spans="1:25" ht="14.25" customHeight="1" x14ac:dyDescent="0.3">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row>
    <row r="245" spans="1:25" ht="14.25" customHeight="1" x14ac:dyDescent="0.3">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row>
    <row r="246" spans="1:25" ht="14.25" customHeight="1" x14ac:dyDescent="0.3">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row>
    <row r="247" spans="1:25" ht="14.25" customHeight="1" x14ac:dyDescent="0.3">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row>
    <row r="248" spans="1:25" ht="14.25" customHeight="1" x14ac:dyDescent="0.3">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row>
    <row r="249" spans="1:25" ht="14.25" customHeight="1" x14ac:dyDescent="0.3">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row>
    <row r="250" spans="1:25" ht="14.25" customHeight="1" x14ac:dyDescent="0.3">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row>
    <row r="251" spans="1:25" ht="14.25" customHeight="1" x14ac:dyDescent="0.3">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row>
    <row r="252" spans="1:25" ht="14.25" customHeight="1" x14ac:dyDescent="0.3">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row>
    <row r="253" spans="1:25" ht="14.25" customHeight="1" x14ac:dyDescent="0.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row>
    <row r="254" spans="1:25" ht="14.25" customHeight="1" x14ac:dyDescent="0.3">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row>
    <row r="255" spans="1:25" ht="14.25" customHeight="1" x14ac:dyDescent="0.3">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row>
    <row r="256" spans="1:25" ht="14.25" customHeight="1" x14ac:dyDescent="0.3">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row>
    <row r="257" spans="1:25" ht="14.25" customHeight="1" x14ac:dyDescent="0.3">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row>
    <row r="258" spans="1:25" ht="14.25" customHeight="1" x14ac:dyDescent="0.3">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row>
    <row r="259" spans="1:25" ht="14.25" customHeight="1" x14ac:dyDescent="0.3">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row>
    <row r="260" spans="1:25" ht="14.25" customHeight="1" x14ac:dyDescent="0.3">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row>
    <row r="261" spans="1:25" ht="14.25" customHeight="1" x14ac:dyDescent="0.3">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row>
    <row r="262" spans="1:25" ht="14.25" customHeight="1" x14ac:dyDescent="0.3">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row>
    <row r="263" spans="1:25" ht="14.25" customHeight="1" x14ac:dyDescent="0.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row>
    <row r="264" spans="1:25" ht="14.25" customHeight="1" x14ac:dyDescent="0.3">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row>
    <row r="265" spans="1:25" ht="14.25" customHeight="1" x14ac:dyDescent="0.3">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row>
    <row r="266" spans="1:25" ht="14.25" customHeight="1" x14ac:dyDescent="0.3">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row>
    <row r="267" spans="1:25" ht="14.25" customHeight="1" x14ac:dyDescent="0.3">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row>
    <row r="268" spans="1:25" ht="14.25" customHeight="1" x14ac:dyDescent="0.3">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row>
    <row r="269" spans="1:25" ht="14.25" customHeight="1" x14ac:dyDescent="0.3">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row>
    <row r="270" spans="1:25" ht="14.25" customHeight="1" x14ac:dyDescent="0.3">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row>
    <row r="271" spans="1:25" ht="14.25" customHeight="1" x14ac:dyDescent="0.3">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row>
    <row r="272" spans="1:25" ht="14.25" customHeight="1" x14ac:dyDescent="0.3">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row>
    <row r="273" spans="1:25" ht="14.25" customHeight="1" x14ac:dyDescent="0.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row>
    <row r="274" spans="1:25" ht="14.25" customHeight="1" x14ac:dyDescent="0.3">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row>
    <row r="275" spans="1:25" ht="14.25" customHeight="1" x14ac:dyDescent="0.3">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row>
    <row r="276" spans="1:25" ht="14.25" customHeight="1" x14ac:dyDescent="0.3">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row>
    <row r="277" spans="1:25" ht="14.25" customHeight="1" x14ac:dyDescent="0.3">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row>
    <row r="278" spans="1:25" ht="14.25" customHeight="1" x14ac:dyDescent="0.3">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row>
    <row r="279" spans="1:25" ht="14.25" customHeight="1" x14ac:dyDescent="0.3">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row>
    <row r="280" spans="1:25" ht="14.25" customHeight="1" x14ac:dyDescent="0.3">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row>
    <row r="281" spans="1:25" ht="14.25" customHeight="1" x14ac:dyDescent="0.3">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row>
    <row r="282" spans="1:25" ht="14.25" customHeight="1" x14ac:dyDescent="0.3">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row>
    <row r="283" spans="1:25" ht="14.25" customHeight="1" x14ac:dyDescent="0.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row>
    <row r="284" spans="1:25" ht="14.25" customHeight="1" x14ac:dyDescent="0.3">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row>
    <row r="285" spans="1:25" ht="14.25" customHeight="1" x14ac:dyDescent="0.3">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row>
    <row r="286" spans="1:25" ht="14.25" customHeight="1" x14ac:dyDescent="0.3">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row>
    <row r="287" spans="1:25" ht="14.25" customHeight="1" x14ac:dyDescent="0.3">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row>
    <row r="288" spans="1:25" ht="14.25" customHeight="1" x14ac:dyDescent="0.3">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row>
    <row r="289" spans="1:25" ht="14.25" customHeight="1" x14ac:dyDescent="0.3">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row>
    <row r="290" spans="1:25" ht="14.25" customHeight="1" x14ac:dyDescent="0.3">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row>
    <row r="291" spans="1:25" ht="14.25" customHeight="1" x14ac:dyDescent="0.3">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row>
    <row r="292" spans="1:25" ht="14.25" customHeight="1" x14ac:dyDescent="0.3">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row>
    <row r="293" spans="1:25" ht="14.25" customHeight="1" x14ac:dyDescent="0.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row>
    <row r="294" spans="1:25" ht="14.25" customHeight="1" x14ac:dyDescent="0.3">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row>
    <row r="295" spans="1:25" ht="14.25" customHeight="1" x14ac:dyDescent="0.3">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row>
    <row r="296" spans="1:25" ht="14.25" customHeight="1" x14ac:dyDescent="0.3">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row>
    <row r="297" spans="1:25" ht="14.25" customHeight="1" x14ac:dyDescent="0.3">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row>
    <row r="298" spans="1:25" ht="14.25" customHeight="1" x14ac:dyDescent="0.3">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row>
    <row r="299" spans="1:25" ht="14.25" customHeight="1" x14ac:dyDescent="0.3">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row>
    <row r="300" spans="1:25" ht="14.25" customHeight="1" x14ac:dyDescent="0.3">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row>
    <row r="301" spans="1:25" ht="14.25" customHeight="1" x14ac:dyDescent="0.3">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row>
    <row r="302" spans="1:25" ht="14.25" customHeight="1" x14ac:dyDescent="0.3">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row>
    <row r="303" spans="1:25" ht="14.25" customHeight="1" x14ac:dyDescent="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row>
    <row r="304" spans="1:25" ht="14.25" customHeight="1" x14ac:dyDescent="0.3">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row>
    <row r="305" spans="1:25" ht="14.25" customHeight="1" x14ac:dyDescent="0.3">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row>
    <row r="306" spans="1:25" ht="14.25" customHeight="1" x14ac:dyDescent="0.3">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row>
    <row r="307" spans="1:25" ht="14.25" customHeight="1" x14ac:dyDescent="0.3">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row>
    <row r="308" spans="1:25" ht="14.25" customHeight="1" x14ac:dyDescent="0.3">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row>
    <row r="309" spans="1:25" ht="14.25" customHeight="1" x14ac:dyDescent="0.3">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row>
    <row r="310" spans="1:25" ht="14.25" customHeight="1" x14ac:dyDescent="0.3">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row>
    <row r="311" spans="1:25" ht="14.25" customHeight="1" x14ac:dyDescent="0.3">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row>
    <row r="312" spans="1:25" ht="14.25" customHeight="1" x14ac:dyDescent="0.3">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row>
    <row r="313" spans="1:25" ht="14.25" customHeight="1" x14ac:dyDescent="0.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row>
    <row r="314" spans="1:25" ht="14.25" customHeight="1" x14ac:dyDescent="0.3">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row>
    <row r="315" spans="1:25" ht="14.25" customHeight="1" x14ac:dyDescent="0.3">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row>
    <row r="316" spans="1:25" ht="14.25" customHeight="1" x14ac:dyDescent="0.3">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row>
    <row r="317" spans="1:25" ht="14.25" customHeight="1" x14ac:dyDescent="0.3">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row>
    <row r="318" spans="1:25" ht="14.25" customHeight="1" x14ac:dyDescent="0.3">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row>
    <row r="319" spans="1:25" ht="14.25" customHeight="1" x14ac:dyDescent="0.3">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row>
    <row r="320" spans="1:25" ht="14.25" customHeight="1" x14ac:dyDescent="0.3">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row>
    <row r="321" spans="1:25" ht="14.25" customHeight="1" x14ac:dyDescent="0.3">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row>
    <row r="322" spans="1:25" ht="14.25" customHeight="1" x14ac:dyDescent="0.3">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row>
    <row r="323" spans="1:25" ht="14.25" customHeight="1" x14ac:dyDescent="0.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row>
    <row r="324" spans="1:25" ht="14.25" customHeight="1" x14ac:dyDescent="0.3">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row>
    <row r="325" spans="1:25" ht="14.25" customHeight="1" x14ac:dyDescent="0.3">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row>
    <row r="326" spans="1:25" ht="14.25" customHeight="1" x14ac:dyDescent="0.3">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row>
    <row r="327" spans="1:25" ht="14.25" customHeight="1" x14ac:dyDescent="0.3">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row>
    <row r="328" spans="1:25" ht="14.25" customHeight="1" x14ac:dyDescent="0.3">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row>
    <row r="329" spans="1:25" ht="14.25" customHeight="1" x14ac:dyDescent="0.3">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row>
    <row r="330" spans="1:25" ht="14.25" customHeight="1" x14ac:dyDescent="0.3">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row>
    <row r="331" spans="1:25" ht="14.25" customHeight="1" x14ac:dyDescent="0.3">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row>
    <row r="332" spans="1:25" ht="14.25" customHeight="1" x14ac:dyDescent="0.3">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row>
    <row r="333" spans="1:25" ht="14.25" customHeight="1" x14ac:dyDescent="0.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row>
    <row r="334" spans="1:25" ht="14.25" customHeight="1" x14ac:dyDescent="0.3">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row>
    <row r="335" spans="1:25" ht="14.25" customHeight="1" x14ac:dyDescent="0.3">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row>
    <row r="336" spans="1:25" ht="14.25" customHeight="1" x14ac:dyDescent="0.3">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row>
    <row r="337" spans="1:25" ht="14.25" customHeight="1" x14ac:dyDescent="0.3">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row>
    <row r="338" spans="1:25" ht="14.25" customHeight="1" x14ac:dyDescent="0.3">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row>
    <row r="339" spans="1:25" ht="14.25" customHeight="1" x14ac:dyDescent="0.3">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row>
    <row r="340" spans="1:25" ht="14.25" customHeight="1" x14ac:dyDescent="0.3">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row>
    <row r="341" spans="1:25" ht="14.25" customHeight="1" x14ac:dyDescent="0.3">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row>
    <row r="342" spans="1:25" ht="14.25" customHeight="1" x14ac:dyDescent="0.3">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row>
    <row r="343" spans="1:25" ht="14.25" customHeight="1" x14ac:dyDescent="0.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row>
    <row r="344" spans="1:25" ht="14.25" customHeight="1" x14ac:dyDescent="0.3">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row>
    <row r="345" spans="1:25" ht="14.25" customHeight="1" x14ac:dyDescent="0.3">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row>
    <row r="346" spans="1:25" ht="14.25" customHeight="1" x14ac:dyDescent="0.3">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row>
    <row r="347" spans="1:25" ht="14.25" customHeight="1" x14ac:dyDescent="0.3">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row>
    <row r="348" spans="1:25" ht="14.25" customHeight="1" x14ac:dyDescent="0.3">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row>
    <row r="349" spans="1:25" ht="14.25" customHeight="1" x14ac:dyDescent="0.3">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row>
    <row r="350" spans="1:25" ht="14.25" customHeight="1" x14ac:dyDescent="0.3">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row>
    <row r="351" spans="1:25" ht="14.25" customHeight="1" x14ac:dyDescent="0.3">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row>
    <row r="352" spans="1:25" ht="14.25" customHeight="1" x14ac:dyDescent="0.3">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row>
    <row r="353" spans="1:25" ht="14.25" customHeight="1" x14ac:dyDescent="0.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row>
    <row r="354" spans="1:25" ht="14.25" customHeight="1" x14ac:dyDescent="0.3">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row>
    <row r="355" spans="1:25" ht="14.25" customHeight="1" x14ac:dyDescent="0.3">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row>
    <row r="356" spans="1:25" ht="14.25" customHeight="1" x14ac:dyDescent="0.3">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row>
    <row r="357" spans="1:25" ht="14.25" customHeight="1" x14ac:dyDescent="0.3">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row>
    <row r="358" spans="1:25" ht="14.25" customHeight="1" x14ac:dyDescent="0.3">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row>
    <row r="359" spans="1:25" ht="14.25" customHeight="1" x14ac:dyDescent="0.3">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row>
    <row r="360" spans="1:25" ht="14.25" customHeight="1" x14ac:dyDescent="0.3">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row>
    <row r="361" spans="1:25" ht="14.25" customHeight="1" x14ac:dyDescent="0.3">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row>
    <row r="362" spans="1:25" ht="14.25" customHeight="1" x14ac:dyDescent="0.3">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row>
    <row r="363" spans="1:25" ht="14.25" customHeight="1" x14ac:dyDescent="0.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row>
    <row r="364" spans="1:25" ht="14.25" customHeight="1" x14ac:dyDescent="0.3">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row>
    <row r="365" spans="1:25" ht="14.25" customHeight="1" x14ac:dyDescent="0.3">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row>
    <row r="366" spans="1:25" ht="14.25" customHeight="1" x14ac:dyDescent="0.3">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row>
    <row r="367" spans="1:25" ht="14.25" customHeight="1" x14ac:dyDescent="0.3">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row>
    <row r="368" spans="1:25" ht="14.25" customHeight="1" x14ac:dyDescent="0.3">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row>
    <row r="369" spans="1:25" ht="14.25" customHeight="1" x14ac:dyDescent="0.3">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row>
    <row r="370" spans="1:25" ht="14.25" customHeight="1" x14ac:dyDescent="0.3">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row>
    <row r="371" spans="1:25" ht="14.25" customHeight="1" x14ac:dyDescent="0.3">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row>
    <row r="372" spans="1:25" ht="14.25" customHeight="1" x14ac:dyDescent="0.3">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row>
    <row r="373" spans="1:25" ht="14.25" customHeight="1" x14ac:dyDescent="0.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row>
    <row r="374" spans="1:25" ht="14.25" customHeight="1" x14ac:dyDescent="0.3">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row>
    <row r="375" spans="1:25" ht="14.25" customHeight="1" x14ac:dyDescent="0.3">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row>
    <row r="376" spans="1:25" ht="14.25" customHeight="1" x14ac:dyDescent="0.3">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row>
    <row r="377" spans="1:25" ht="14.25" customHeight="1" x14ac:dyDescent="0.3">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row>
    <row r="378" spans="1:25" ht="14.25" customHeight="1" x14ac:dyDescent="0.3">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row>
    <row r="379" spans="1:25" ht="14.25" customHeight="1" x14ac:dyDescent="0.3">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row>
    <row r="380" spans="1:25" ht="14.25" customHeight="1" x14ac:dyDescent="0.3">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row>
    <row r="381" spans="1:25" ht="14.25" customHeight="1" x14ac:dyDescent="0.3">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row>
    <row r="382" spans="1:25" ht="14.25" customHeight="1" x14ac:dyDescent="0.3">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row>
    <row r="383" spans="1:25" ht="14.25" customHeight="1" x14ac:dyDescent="0.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row>
    <row r="384" spans="1:25" ht="14.25" customHeight="1" x14ac:dyDescent="0.3">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row>
    <row r="385" spans="1:25" ht="14.25" customHeight="1" x14ac:dyDescent="0.3">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row>
    <row r="386" spans="1:25" ht="14.25" customHeight="1" x14ac:dyDescent="0.3">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row>
    <row r="387" spans="1:25" ht="14.25" customHeight="1" x14ac:dyDescent="0.3">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row>
    <row r="388" spans="1:25" ht="14.25" customHeight="1" x14ac:dyDescent="0.3">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row>
    <row r="389" spans="1:25" ht="14.25" customHeight="1" x14ac:dyDescent="0.3">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row>
    <row r="390" spans="1:25" ht="14.25" customHeight="1" x14ac:dyDescent="0.3">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row>
    <row r="391" spans="1:25" ht="14.25" customHeight="1" x14ac:dyDescent="0.3">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row>
    <row r="392" spans="1:25" ht="14.25" customHeight="1" x14ac:dyDescent="0.3">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row>
    <row r="393" spans="1:25" ht="14.25" customHeight="1" x14ac:dyDescent="0.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row>
    <row r="394" spans="1:25" ht="14.25" customHeight="1" x14ac:dyDescent="0.3">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row>
    <row r="395" spans="1:25" ht="14.25" customHeight="1" x14ac:dyDescent="0.3">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row>
    <row r="396" spans="1:25" ht="14.25" customHeight="1" x14ac:dyDescent="0.3">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row>
    <row r="397" spans="1:25" ht="14.25" customHeight="1" x14ac:dyDescent="0.3">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row>
    <row r="398" spans="1:25" ht="14.25" customHeight="1" x14ac:dyDescent="0.3">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row>
    <row r="399" spans="1:25" ht="14.25" customHeight="1" x14ac:dyDescent="0.3">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row>
    <row r="400" spans="1:25" ht="14.25" customHeight="1" x14ac:dyDescent="0.3">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row>
    <row r="401" spans="1:25" ht="14.25" customHeight="1" x14ac:dyDescent="0.3">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row>
    <row r="402" spans="1:25" ht="14.25" customHeight="1" x14ac:dyDescent="0.3">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row>
    <row r="403" spans="1:25" ht="14.25" customHeight="1" x14ac:dyDescent="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row>
    <row r="404" spans="1:25" ht="14.25" customHeight="1" x14ac:dyDescent="0.3">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row>
    <row r="405" spans="1:25" ht="14.25" customHeight="1" x14ac:dyDescent="0.3">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row>
    <row r="406" spans="1:25" ht="14.25" customHeight="1" x14ac:dyDescent="0.3">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row>
    <row r="407" spans="1:25" ht="14.25" customHeight="1" x14ac:dyDescent="0.3">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row>
    <row r="408" spans="1:25" ht="14.25" customHeight="1" x14ac:dyDescent="0.3">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row>
    <row r="409" spans="1:25" ht="14.25" customHeight="1" x14ac:dyDescent="0.3">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row>
    <row r="410" spans="1:25" ht="14.25" customHeight="1" x14ac:dyDescent="0.3">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row>
    <row r="411" spans="1:25" ht="14.25" customHeight="1" x14ac:dyDescent="0.3">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row>
    <row r="412" spans="1:25" ht="14.25" customHeight="1" x14ac:dyDescent="0.3">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row>
    <row r="413" spans="1:25" ht="14.25" customHeight="1" x14ac:dyDescent="0.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row>
    <row r="414" spans="1:25" ht="14.25" customHeight="1" x14ac:dyDescent="0.3">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row>
    <row r="415" spans="1:25" ht="14.25" customHeight="1" x14ac:dyDescent="0.3">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row>
    <row r="416" spans="1:25" ht="14.25" customHeight="1" x14ac:dyDescent="0.3">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row>
    <row r="417" spans="1:25" ht="14.25" customHeight="1" x14ac:dyDescent="0.3">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row>
    <row r="418" spans="1:25" ht="14.25" customHeight="1" x14ac:dyDescent="0.3">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row>
    <row r="419" spans="1:25" ht="14.25" customHeight="1" x14ac:dyDescent="0.3">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row>
    <row r="420" spans="1:25" ht="14.25" customHeight="1" x14ac:dyDescent="0.3">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row>
    <row r="421" spans="1:25" ht="14.25" customHeight="1" x14ac:dyDescent="0.3">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row>
    <row r="422" spans="1:25" ht="14.25" customHeight="1" x14ac:dyDescent="0.3">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row>
    <row r="423" spans="1:25" ht="14.25" customHeight="1" x14ac:dyDescent="0.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row>
    <row r="424" spans="1:25" ht="14.25" customHeight="1" x14ac:dyDescent="0.3">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row>
    <row r="425" spans="1:25" ht="14.25" customHeight="1" x14ac:dyDescent="0.3">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row>
    <row r="426" spans="1:25" ht="14.25" customHeight="1" x14ac:dyDescent="0.3">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row>
    <row r="427" spans="1:25" ht="14.25" customHeight="1" x14ac:dyDescent="0.3">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row>
    <row r="428" spans="1:25" ht="14.25" customHeight="1" x14ac:dyDescent="0.3">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row>
    <row r="429" spans="1:25" ht="14.25" customHeight="1" x14ac:dyDescent="0.3">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row>
    <row r="430" spans="1:25" ht="14.25" customHeight="1" x14ac:dyDescent="0.3">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row>
    <row r="431" spans="1:25" ht="14.25" customHeight="1" x14ac:dyDescent="0.3">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row>
    <row r="432" spans="1:25" ht="14.25" customHeight="1" x14ac:dyDescent="0.3">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row>
    <row r="433" spans="1:25" ht="14.25" customHeight="1" x14ac:dyDescent="0.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row>
    <row r="434" spans="1:25" ht="14.25" customHeight="1" x14ac:dyDescent="0.3">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row>
    <row r="435" spans="1:25" ht="14.25" customHeight="1" x14ac:dyDescent="0.3">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row>
    <row r="436" spans="1:25" ht="14.25" customHeight="1" x14ac:dyDescent="0.3">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row>
    <row r="437" spans="1:25" ht="14.25" customHeight="1" x14ac:dyDescent="0.3">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row>
    <row r="438" spans="1:25" ht="14.25" customHeight="1" x14ac:dyDescent="0.3">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row>
    <row r="439" spans="1:25" ht="14.25" customHeight="1" x14ac:dyDescent="0.3">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row>
    <row r="440" spans="1:25" ht="14.25" customHeight="1" x14ac:dyDescent="0.3">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row>
    <row r="441" spans="1:25" ht="14.25" customHeight="1" x14ac:dyDescent="0.3">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row>
    <row r="442" spans="1:25" ht="14.25" customHeight="1" x14ac:dyDescent="0.3">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row>
    <row r="443" spans="1:25" ht="14.25" customHeight="1" x14ac:dyDescent="0.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row>
    <row r="444" spans="1:25" ht="14.25" customHeight="1" x14ac:dyDescent="0.3">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row>
    <row r="445" spans="1:25" ht="14.25" customHeight="1" x14ac:dyDescent="0.3">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row>
    <row r="446" spans="1:25" ht="14.25" customHeight="1" x14ac:dyDescent="0.3">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row>
    <row r="447" spans="1:25" ht="14.25" customHeight="1" x14ac:dyDescent="0.3">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row>
    <row r="448" spans="1:25" ht="14.25" customHeight="1" x14ac:dyDescent="0.3">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row>
    <row r="449" spans="1:25" ht="14.25" customHeight="1" x14ac:dyDescent="0.3">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row>
    <row r="450" spans="1:25" ht="14.25" customHeight="1" x14ac:dyDescent="0.3">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row>
    <row r="451" spans="1:25" ht="14.25" customHeight="1" x14ac:dyDescent="0.3">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row>
    <row r="452" spans="1:25" ht="14.25" customHeight="1" x14ac:dyDescent="0.3">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row>
    <row r="453" spans="1:25" ht="14.25" customHeight="1" x14ac:dyDescent="0.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row>
    <row r="454" spans="1:25" ht="14.25" customHeight="1" x14ac:dyDescent="0.3">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row>
    <row r="455" spans="1:25" ht="14.25" customHeight="1" x14ac:dyDescent="0.3">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row>
    <row r="456" spans="1:25" ht="14.25" customHeight="1" x14ac:dyDescent="0.3">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row>
    <row r="457" spans="1:25" ht="14.25" customHeight="1" x14ac:dyDescent="0.3">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row>
    <row r="458" spans="1:25" ht="14.25" customHeight="1" x14ac:dyDescent="0.3">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row>
    <row r="459" spans="1:25" ht="14.25" customHeight="1" x14ac:dyDescent="0.3">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row>
    <row r="460" spans="1:25" ht="14.25" customHeight="1" x14ac:dyDescent="0.3">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row>
    <row r="461" spans="1:25" ht="14.25" customHeight="1" x14ac:dyDescent="0.3">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row>
    <row r="462" spans="1:25" ht="14.25" customHeight="1" x14ac:dyDescent="0.3">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row>
    <row r="463" spans="1:25" ht="14.25" customHeight="1" x14ac:dyDescent="0.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row>
    <row r="464" spans="1:25" ht="14.25" customHeight="1" x14ac:dyDescent="0.3">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row>
    <row r="465" spans="1:25" ht="14.25" customHeight="1" x14ac:dyDescent="0.3">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row>
    <row r="466" spans="1:25" ht="14.25" customHeight="1" x14ac:dyDescent="0.3">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row>
    <row r="467" spans="1:25" ht="14.25" customHeight="1" x14ac:dyDescent="0.3">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row>
    <row r="468" spans="1:25" ht="14.25" customHeight="1" x14ac:dyDescent="0.3">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row>
    <row r="469" spans="1:25" ht="14.25" customHeight="1" x14ac:dyDescent="0.3">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row>
    <row r="470" spans="1:25" ht="14.25" customHeight="1" x14ac:dyDescent="0.3">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row>
    <row r="471" spans="1:25" ht="14.25" customHeight="1" x14ac:dyDescent="0.3">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row>
    <row r="472" spans="1:25" ht="14.25" customHeight="1" x14ac:dyDescent="0.3">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row>
    <row r="473" spans="1:25" ht="14.25" customHeight="1" x14ac:dyDescent="0.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row>
    <row r="474" spans="1:25" ht="14.25" customHeight="1" x14ac:dyDescent="0.3">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row>
    <row r="475" spans="1:25" ht="14.25" customHeight="1" x14ac:dyDescent="0.3">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row>
    <row r="476" spans="1:25" ht="14.25" customHeight="1" x14ac:dyDescent="0.3">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row>
    <row r="477" spans="1:25" ht="14.25" customHeight="1" x14ac:dyDescent="0.3">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row>
    <row r="478" spans="1:25" ht="14.25" customHeight="1" x14ac:dyDescent="0.3">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row>
    <row r="479" spans="1:25" ht="14.25" customHeight="1" x14ac:dyDescent="0.3">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row>
    <row r="480" spans="1:25" ht="14.25" customHeight="1" x14ac:dyDescent="0.3">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row>
    <row r="481" spans="1:25" ht="14.25" customHeight="1" x14ac:dyDescent="0.3">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row>
    <row r="482" spans="1:25" ht="14.25" customHeight="1" x14ac:dyDescent="0.3">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row>
    <row r="483" spans="1:25" ht="14.25" customHeight="1" x14ac:dyDescent="0.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row>
    <row r="484" spans="1:25" ht="14.25" customHeight="1" x14ac:dyDescent="0.3">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row>
    <row r="485" spans="1:25" ht="14.25" customHeight="1" x14ac:dyDescent="0.3">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row>
    <row r="486" spans="1:25" ht="14.25" customHeight="1" x14ac:dyDescent="0.3">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row>
    <row r="487" spans="1:25" ht="14.25" customHeight="1" x14ac:dyDescent="0.3">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row>
    <row r="488" spans="1:25" ht="14.25" customHeight="1" x14ac:dyDescent="0.3">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row>
    <row r="489" spans="1:25" ht="14.25" customHeight="1" x14ac:dyDescent="0.3">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row>
    <row r="490" spans="1:25" ht="14.25" customHeight="1" x14ac:dyDescent="0.3">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row>
    <row r="491" spans="1:25" ht="14.25" customHeight="1" x14ac:dyDescent="0.3">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row>
    <row r="492" spans="1:25" ht="14.25" customHeight="1" x14ac:dyDescent="0.3">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row>
    <row r="493" spans="1:25" ht="14.25" customHeight="1" x14ac:dyDescent="0.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row>
    <row r="494" spans="1:25" ht="14.25" customHeight="1" x14ac:dyDescent="0.3">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row>
    <row r="495" spans="1:25" ht="14.25" customHeight="1" x14ac:dyDescent="0.3">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row>
    <row r="496" spans="1:25" ht="14.25" customHeight="1" x14ac:dyDescent="0.3">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row>
    <row r="497" spans="1:25" ht="14.25" customHeight="1" x14ac:dyDescent="0.3">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row>
    <row r="498" spans="1:25" ht="14.25" customHeight="1" x14ac:dyDescent="0.3">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row>
    <row r="499" spans="1:25" ht="14.25" customHeight="1" x14ac:dyDescent="0.3">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row>
    <row r="500" spans="1:25" ht="14.25" customHeight="1" x14ac:dyDescent="0.3">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row>
    <row r="501" spans="1:25" ht="14.25" customHeight="1" x14ac:dyDescent="0.3">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row>
    <row r="502" spans="1:25" ht="14.25" customHeight="1" x14ac:dyDescent="0.3">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row>
    <row r="503" spans="1:25" ht="14.25" customHeight="1" x14ac:dyDescent="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row>
    <row r="504" spans="1:25" ht="14.25" customHeight="1" x14ac:dyDescent="0.3">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row>
    <row r="505" spans="1:25" ht="14.25" customHeight="1" x14ac:dyDescent="0.3">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row>
    <row r="506" spans="1:25" ht="14.25" customHeight="1" x14ac:dyDescent="0.3">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row>
    <row r="507" spans="1:25" ht="14.25" customHeight="1" x14ac:dyDescent="0.3">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row>
    <row r="508" spans="1:25" ht="14.25" customHeight="1" x14ac:dyDescent="0.3">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row>
    <row r="509" spans="1:25" ht="14.25" customHeight="1" x14ac:dyDescent="0.3">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row>
    <row r="510" spans="1:25" ht="14.25" customHeight="1" x14ac:dyDescent="0.3">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row>
    <row r="511" spans="1:25" ht="14.25" customHeight="1" x14ac:dyDescent="0.3">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row>
    <row r="512" spans="1:25" ht="14.25" customHeight="1" x14ac:dyDescent="0.3">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row>
    <row r="513" spans="1:25" ht="14.25" customHeight="1" x14ac:dyDescent="0.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row>
    <row r="514" spans="1:25" ht="14.25" customHeight="1" x14ac:dyDescent="0.3">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row>
    <row r="515" spans="1:25" ht="14.25" customHeight="1" x14ac:dyDescent="0.3">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row>
    <row r="516" spans="1:25" ht="14.25" customHeight="1" x14ac:dyDescent="0.3">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row>
    <row r="517" spans="1:25" ht="14.25" customHeight="1" x14ac:dyDescent="0.3">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row>
    <row r="518" spans="1:25" ht="14.25" customHeight="1" x14ac:dyDescent="0.3">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row>
    <row r="519" spans="1:25" ht="14.25" customHeight="1" x14ac:dyDescent="0.3">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row>
    <row r="520" spans="1:25" ht="14.25" customHeight="1" x14ac:dyDescent="0.3">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row>
    <row r="521" spans="1:25" ht="14.25" customHeight="1" x14ac:dyDescent="0.3">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row>
    <row r="522" spans="1:25" ht="14.25" customHeight="1" x14ac:dyDescent="0.3">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row>
    <row r="523" spans="1:25" ht="14.25" customHeight="1" x14ac:dyDescent="0.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row>
    <row r="524" spans="1:25" ht="14.25" customHeight="1" x14ac:dyDescent="0.3">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row>
    <row r="525" spans="1:25" ht="14.25" customHeight="1" x14ac:dyDescent="0.3">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row>
    <row r="526" spans="1:25" ht="14.25" customHeight="1" x14ac:dyDescent="0.3">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row>
    <row r="527" spans="1:25" ht="14.25" customHeight="1" x14ac:dyDescent="0.3">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row>
    <row r="528" spans="1:25" ht="14.25" customHeight="1" x14ac:dyDescent="0.3">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row>
    <row r="529" spans="1:25" ht="14.25" customHeight="1" x14ac:dyDescent="0.3">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row>
    <row r="530" spans="1:25" ht="14.25" customHeight="1" x14ac:dyDescent="0.3">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row>
    <row r="531" spans="1:25" ht="14.25" customHeight="1" x14ac:dyDescent="0.3">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row>
    <row r="532" spans="1:25" ht="14.25" customHeight="1" x14ac:dyDescent="0.3">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row>
    <row r="533" spans="1:25" ht="14.25" customHeight="1" x14ac:dyDescent="0.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row>
    <row r="534" spans="1:25" ht="14.25" customHeight="1" x14ac:dyDescent="0.3">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row>
    <row r="535" spans="1:25" ht="14.25" customHeight="1" x14ac:dyDescent="0.3">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row>
    <row r="536" spans="1:25" ht="14.25" customHeight="1" x14ac:dyDescent="0.3">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row>
    <row r="537" spans="1:25" ht="14.25" customHeight="1" x14ac:dyDescent="0.3">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row>
    <row r="538" spans="1:25" ht="14.25" customHeight="1" x14ac:dyDescent="0.3">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row>
    <row r="539" spans="1:25" ht="14.25" customHeight="1" x14ac:dyDescent="0.3">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row>
    <row r="540" spans="1:25" ht="14.25" customHeight="1" x14ac:dyDescent="0.3">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row>
    <row r="541" spans="1:25" ht="14.25" customHeight="1" x14ac:dyDescent="0.3">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row>
    <row r="542" spans="1:25" ht="14.25" customHeight="1" x14ac:dyDescent="0.3">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row>
    <row r="543" spans="1:25" ht="14.25" customHeight="1" x14ac:dyDescent="0.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row>
    <row r="544" spans="1:25" ht="14.25" customHeight="1" x14ac:dyDescent="0.3">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row>
    <row r="545" spans="1:25" ht="14.25" customHeight="1" x14ac:dyDescent="0.3">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row>
    <row r="546" spans="1:25" ht="14.25" customHeight="1" x14ac:dyDescent="0.3">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row>
    <row r="547" spans="1:25" ht="14.25" customHeight="1" x14ac:dyDescent="0.3">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row>
    <row r="548" spans="1:25" ht="14.25" customHeight="1" x14ac:dyDescent="0.3">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row>
    <row r="549" spans="1:25" ht="14.25" customHeight="1" x14ac:dyDescent="0.3">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row>
    <row r="550" spans="1:25" ht="14.25" customHeight="1" x14ac:dyDescent="0.3">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row>
    <row r="551" spans="1:25" ht="14.25" customHeight="1" x14ac:dyDescent="0.3">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row>
    <row r="552" spans="1:25" ht="14.25" customHeight="1" x14ac:dyDescent="0.3">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row>
    <row r="553" spans="1:25" ht="14.25" customHeight="1" x14ac:dyDescent="0.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row>
    <row r="554" spans="1:25" ht="14.25" customHeight="1" x14ac:dyDescent="0.3">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row>
    <row r="555" spans="1:25" ht="14.25" customHeight="1" x14ac:dyDescent="0.3">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row>
    <row r="556" spans="1:25" ht="14.25" customHeight="1" x14ac:dyDescent="0.3">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row>
    <row r="557" spans="1:25" ht="14.25" customHeight="1" x14ac:dyDescent="0.3">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row>
    <row r="558" spans="1:25" ht="14.25" customHeight="1" x14ac:dyDescent="0.3">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row>
    <row r="559" spans="1:25" ht="14.25" customHeight="1" x14ac:dyDescent="0.3">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row>
    <row r="560" spans="1:25" ht="14.25" customHeight="1" x14ac:dyDescent="0.3">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row>
    <row r="561" spans="1:25" ht="14.25" customHeight="1" x14ac:dyDescent="0.3">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row>
    <row r="562" spans="1:25" ht="14.25" customHeight="1" x14ac:dyDescent="0.3">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row>
    <row r="563" spans="1:25" ht="14.25" customHeight="1" x14ac:dyDescent="0.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row>
    <row r="564" spans="1:25" ht="14.25" customHeight="1" x14ac:dyDescent="0.3">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row>
    <row r="565" spans="1:25" ht="14.25" customHeight="1" x14ac:dyDescent="0.3">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row>
    <row r="566" spans="1:25" ht="14.25" customHeight="1" x14ac:dyDescent="0.3">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row>
    <row r="567" spans="1:25" ht="14.25" customHeight="1" x14ac:dyDescent="0.3">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row>
    <row r="568" spans="1:25" ht="14.25" customHeight="1" x14ac:dyDescent="0.3">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row>
    <row r="569" spans="1:25" ht="14.25" customHeight="1" x14ac:dyDescent="0.3">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row>
    <row r="570" spans="1:25" ht="14.25" customHeight="1" x14ac:dyDescent="0.3">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row>
    <row r="571" spans="1:25" ht="14.25" customHeight="1" x14ac:dyDescent="0.3">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row>
    <row r="572" spans="1:25" ht="14.25" customHeight="1" x14ac:dyDescent="0.3">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row>
    <row r="573" spans="1:25" ht="14.25" customHeight="1" x14ac:dyDescent="0.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row>
    <row r="574" spans="1:25" ht="14.25" customHeight="1" x14ac:dyDescent="0.3">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row>
    <row r="575" spans="1:25" ht="14.25" customHeight="1" x14ac:dyDescent="0.3">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row>
    <row r="576" spans="1:25" ht="14.25" customHeight="1" x14ac:dyDescent="0.3">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row>
    <row r="577" spans="1:25" ht="14.25" customHeight="1" x14ac:dyDescent="0.3">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row>
    <row r="578" spans="1:25" ht="14.25" customHeight="1" x14ac:dyDescent="0.3">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row>
    <row r="579" spans="1:25" ht="14.25" customHeight="1" x14ac:dyDescent="0.3">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row>
    <row r="580" spans="1:25" ht="14.25" customHeight="1" x14ac:dyDescent="0.3">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row>
    <row r="581" spans="1:25" ht="14.25" customHeight="1" x14ac:dyDescent="0.3">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row>
    <row r="582" spans="1:25" ht="14.25" customHeight="1" x14ac:dyDescent="0.3">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row>
    <row r="583" spans="1:25" ht="14.25" customHeight="1" x14ac:dyDescent="0.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row>
    <row r="584" spans="1:25" ht="14.25" customHeight="1" x14ac:dyDescent="0.3">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row>
    <row r="585" spans="1:25" ht="14.25" customHeight="1" x14ac:dyDescent="0.3">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row>
    <row r="586" spans="1:25" ht="14.25" customHeight="1" x14ac:dyDescent="0.3">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row>
    <row r="587" spans="1:25" ht="14.25" customHeight="1" x14ac:dyDescent="0.3">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row>
    <row r="588" spans="1:25" ht="14.25" customHeight="1" x14ac:dyDescent="0.3">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row>
    <row r="589" spans="1:25" ht="14.25" customHeight="1" x14ac:dyDescent="0.3">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row>
    <row r="590" spans="1:25" ht="14.25" customHeight="1" x14ac:dyDescent="0.3">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row>
    <row r="591" spans="1:25" ht="14.25" customHeight="1" x14ac:dyDescent="0.3">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row>
    <row r="592" spans="1:25" ht="14.25" customHeight="1" x14ac:dyDescent="0.3">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row>
    <row r="593" spans="1:25" ht="14.25" customHeight="1" x14ac:dyDescent="0.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row>
    <row r="594" spans="1:25" ht="14.25" customHeight="1" x14ac:dyDescent="0.3">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row>
    <row r="595" spans="1:25" ht="14.25" customHeight="1" x14ac:dyDescent="0.3">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row>
    <row r="596" spans="1:25" ht="14.25" customHeight="1" x14ac:dyDescent="0.3">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row>
    <row r="597" spans="1:25" ht="14.25" customHeight="1" x14ac:dyDescent="0.3">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row>
    <row r="598" spans="1:25" ht="14.25" customHeight="1" x14ac:dyDescent="0.3">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row>
    <row r="599" spans="1:25" ht="14.25" customHeight="1" x14ac:dyDescent="0.3">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row>
    <row r="600" spans="1:25" ht="14.25" customHeight="1" x14ac:dyDescent="0.3">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row>
    <row r="601" spans="1:25" ht="14.25" customHeight="1" x14ac:dyDescent="0.3">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row>
    <row r="602" spans="1:25" ht="14.25" customHeight="1" x14ac:dyDescent="0.3">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row>
    <row r="603" spans="1:25" ht="14.25" customHeight="1" x14ac:dyDescent="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row>
    <row r="604" spans="1:25" ht="14.25" customHeight="1" x14ac:dyDescent="0.3">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row>
    <row r="605" spans="1:25" ht="14.25" customHeight="1" x14ac:dyDescent="0.3">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row>
    <row r="606" spans="1:25" ht="14.25" customHeight="1" x14ac:dyDescent="0.3">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row>
    <row r="607" spans="1:25" ht="14.25" customHeight="1" x14ac:dyDescent="0.3">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row>
    <row r="608" spans="1:25" ht="14.25" customHeight="1" x14ac:dyDescent="0.3">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row>
    <row r="609" spans="1:25" ht="14.25" customHeight="1" x14ac:dyDescent="0.3">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row>
    <row r="610" spans="1:25" ht="14.25" customHeight="1" x14ac:dyDescent="0.3">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row>
    <row r="611" spans="1:25" ht="14.25" customHeight="1" x14ac:dyDescent="0.3">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row>
    <row r="612" spans="1:25" ht="14.25" customHeight="1" x14ac:dyDescent="0.3">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row>
    <row r="613" spans="1:25" ht="14.25" customHeight="1" x14ac:dyDescent="0.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row>
    <row r="614" spans="1:25" ht="14.25" customHeight="1" x14ac:dyDescent="0.3">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row>
    <row r="615" spans="1:25" ht="14.25" customHeight="1" x14ac:dyDescent="0.3">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row>
    <row r="616" spans="1:25" ht="14.25" customHeight="1" x14ac:dyDescent="0.3">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row>
    <row r="617" spans="1:25" ht="14.25" customHeight="1" x14ac:dyDescent="0.3">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row>
    <row r="618" spans="1:25" ht="14.25" customHeight="1" x14ac:dyDescent="0.3">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row>
    <row r="619" spans="1:25" ht="14.25" customHeight="1" x14ac:dyDescent="0.3">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row>
    <row r="620" spans="1:25" ht="14.25" customHeight="1" x14ac:dyDescent="0.3">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row>
    <row r="621" spans="1:25" ht="14.25" customHeight="1" x14ac:dyDescent="0.3">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row>
    <row r="622" spans="1:25" ht="14.25" customHeight="1" x14ac:dyDescent="0.3">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row>
    <row r="623" spans="1:25" ht="14.25" customHeight="1" x14ac:dyDescent="0.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row>
    <row r="624" spans="1:25" ht="14.25" customHeight="1" x14ac:dyDescent="0.3">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row>
    <row r="625" spans="1:25" ht="14.25" customHeight="1" x14ac:dyDescent="0.3">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row>
    <row r="626" spans="1:25" ht="14.25" customHeight="1" x14ac:dyDescent="0.3">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row>
    <row r="627" spans="1:25" ht="14.25" customHeight="1" x14ac:dyDescent="0.3">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row>
    <row r="628" spans="1:25" ht="14.25" customHeight="1" x14ac:dyDescent="0.3">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row>
    <row r="629" spans="1:25" ht="14.25" customHeight="1" x14ac:dyDescent="0.3">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row>
    <row r="630" spans="1:25" ht="14.25" customHeight="1" x14ac:dyDescent="0.3">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row>
    <row r="631" spans="1:25" ht="14.25" customHeight="1" x14ac:dyDescent="0.3">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row>
    <row r="632" spans="1:25" ht="14.25" customHeight="1" x14ac:dyDescent="0.3">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row>
    <row r="633" spans="1:25" ht="14.25" customHeight="1" x14ac:dyDescent="0.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row>
    <row r="634" spans="1:25" ht="14.25" customHeight="1" x14ac:dyDescent="0.3">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row>
    <row r="635" spans="1:25" ht="14.25" customHeight="1" x14ac:dyDescent="0.3">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row>
    <row r="636" spans="1:25" ht="14.25" customHeight="1" x14ac:dyDescent="0.3">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row>
    <row r="637" spans="1:25" ht="14.25" customHeight="1" x14ac:dyDescent="0.3">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row>
    <row r="638" spans="1:25" ht="14.25" customHeight="1" x14ac:dyDescent="0.3">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row>
    <row r="639" spans="1:25" ht="14.25" customHeight="1" x14ac:dyDescent="0.3">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row>
    <row r="640" spans="1:25" ht="14.25" customHeight="1" x14ac:dyDescent="0.3">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row>
    <row r="641" spans="1:25" ht="14.25" customHeight="1" x14ac:dyDescent="0.3">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row>
    <row r="642" spans="1:25" ht="14.25" customHeight="1" x14ac:dyDescent="0.3">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row>
    <row r="643" spans="1:25" ht="14.25" customHeight="1" x14ac:dyDescent="0.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row>
    <row r="644" spans="1:25" ht="14.25" customHeight="1" x14ac:dyDescent="0.3">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row>
    <row r="645" spans="1:25" ht="14.25" customHeight="1" x14ac:dyDescent="0.3">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row>
    <row r="646" spans="1:25" ht="14.25" customHeight="1" x14ac:dyDescent="0.3">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row>
    <row r="647" spans="1:25" ht="14.25" customHeight="1" x14ac:dyDescent="0.3">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row>
    <row r="648" spans="1:25" ht="14.25" customHeight="1" x14ac:dyDescent="0.3">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row>
    <row r="649" spans="1:25" ht="14.25" customHeight="1" x14ac:dyDescent="0.3">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row>
    <row r="650" spans="1:25" ht="14.25" customHeight="1" x14ac:dyDescent="0.3">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row>
    <row r="651" spans="1:25" ht="14.25" customHeight="1" x14ac:dyDescent="0.3">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row>
    <row r="652" spans="1:25" ht="14.25" customHeight="1" x14ac:dyDescent="0.3">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row>
    <row r="653" spans="1:25" ht="14.25" customHeight="1" x14ac:dyDescent="0.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row>
    <row r="654" spans="1:25" ht="14.25" customHeight="1" x14ac:dyDescent="0.3">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row>
    <row r="655" spans="1:25" ht="14.25" customHeight="1" x14ac:dyDescent="0.3">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row>
    <row r="656" spans="1:25" ht="14.25" customHeight="1" x14ac:dyDescent="0.3">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row>
    <row r="657" spans="1:25" ht="14.25" customHeight="1" x14ac:dyDescent="0.3">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row>
    <row r="658" spans="1:25" ht="14.25" customHeight="1" x14ac:dyDescent="0.3">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row>
    <row r="659" spans="1:25" ht="14.25" customHeight="1" x14ac:dyDescent="0.3">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row>
    <row r="660" spans="1:25" ht="14.25" customHeight="1" x14ac:dyDescent="0.3">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row>
    <row r="661" spans="1:25" ht="14.25" customHeight="1" x14ac:dyDescent="0.3">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row>
    <row r="662" spans="1:25" ht="14.25" customHeight="1" x14ac:dyDescent="0.3">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row>
    <row r="663" spans="1:25" ht="14.25" customHeight="1" x14ac:dyDescent="0.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row>
    <row r="664" spans="1:25" ht="14.25" customHeight="1" x14ac:dyDescent="0.3">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row>
    <row r="665" spans="1:25" ht="14.25" customHeight="1" x14ac:dyDescent="0.3">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row>
    <row r="666" spans="1:25" ht="14.25" customHeight="1" x14ac:dyDescent="0.3">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row>
    <row r="667" spans="1:25" ht="14.25" customHeight="1" x14ac:dyDescent="0.3">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row>
    <row r="668" spans="1:25" ht="14.25" customHeight="1" x14ac:dyDescent="0.3">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row>
    <row r="669" spans="1:25" ht="14.25" customHeight="1" x14ac:dyDescent="0.3">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row>
    <row r="670" spans="1:25" ht="14.25" customHeight="1" x14ac:dyDescent="0.3">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row>
    <row r="671" spans="1:25" ht="14.25" customHeight="1" x14ac:dyDescent="0.3">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row>
    <row r="672" spans="1:25" ht="14.25" customHeight="1" x14ac:dyDescent="0.3">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row>
    <row r="673" spans="1:25" ht="14.25" customHeight="1" x14ac:dyDescent="0.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row>
    <row r="674" spans="1:25" ht="14.25" customHeight="1" x14ac:dyDescent="0.3">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row>
    <row r="675" spans="1:25" ht="14.25" customHeight="1" x14ac:dyDescent="0.3">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row>
    <row r="676" spans="1:25" ht="14.25" customHeight="1" x14ac:dyDescent="0.3">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row>
    <row r="677" spans="1:25" ht="14.25" customHeight="1" x14ac:dyDescent="0.3">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row>
    <row r="678" spans="1:25" ht="14.25" customHeight="1" x14ac:dyDescent="0.3">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row>
    <row r="679" spans="1:25" ht="14.25" customHeight="1" x14ac:dyDescent="0.3">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row>
    <row r="680" spans="1:25" ht="14.25" customHeight="1" x14ac:dyDescent="0.3">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row>
    <row r="681" spans="1:25" ht="14.25" customHeight="1" x14ac:dyDescent="0.3">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row>
    <row r="682" spans="1:25" ht="14.25" customHeight="1" x14ac:dyDescent="0.3">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row>
    <row r="683" spans="1:25" ht="14.25" customHeight="1" x14ac:dyDescent="0.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row>
    <row r="684" spans="1:25" ht="14.25" customHeight="1" x14ac:dyDescent="0.3">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row>
    <row r="685" spans="1:25" ht="14.25" customHeight="1" x14ac:dyDescent="0.3">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row>
    <row r="686" spans="1:25" ht="14.25" customHeight="1" x14ac:dyDescent="0.3">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row>
    <row r="687" spans="1:25" ht="14.25" customHeight="1" x14ac:dyDescent="0.3">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row>
    <row r="688" spans="1:25" ht="14.25" customHeight="1" x14ac:dyDescent="0.3">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row>
    <row r="689" spans="1:25" ht="14.25" customHeight="1" x14ac:dyDescent="0.3">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row>
    <row r="690" spans="1:25" ht="14.25" customHeight="1" x14ac:dyDescent="0.3">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row>
    <row r="691" spans="1:25" ht="14.25" customHeight="1" x14ac:dyDescent="0.3">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row>
    <row r="692" spans="1:25" ht="14.25" customHeight="1" x14ac:dyDescent="0.3">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row>
    <row r="693" spans="1:25" ht="14.25" customHeight="1" x14ac:dyDescent="0.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row>
    <row r="694" spans="1:25" ht="14.25" customHeight="1" x14ac:dyDescent="0.3">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row>
    <row r="695" spans="1:25" ht="14.25" customHeight="1" x14ac:dyDescent="0.3">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row>
    <row r="696" spans="1:25" ht="14.25" customHeight="1" x14ac:dyDescent="0.3">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row>
    <row r="697" spans="1:25" ht="14.25" customHeight="1" x14ac:dyDescent="0.3">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row>
    <row r="698" spans="1:25" ht="14.25" customHeight="1" x14ac:dyDescent="0.3">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row>
    <row r="699" spans="1:25" ht="14.25" customHeight="1" x14ac:dyDescent="0.3">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row>
    <row r="700" spans="1:25" ht="14.25" customHeight="1" x14ac:dyDescent="0.3">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row>
    <row r="701" spans="1:25" ht="14.25" customHeight="1" x14ac:dyDescent="0.3">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row>
    <row r="702" spans="1:25" ht="14.25" customHeight="1" x14ac:dyDescent="0.3">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row>
    <row r="703" spans="1:25" ht="14.25" customHeight="1" x14ac:dyDescent="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row>
    <row r="704" spans="1:25" ht="14.25" customHeight="1" x14ac:dyDescent="0.3">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row>
    <row r="705" spans="1:25" ht="14.25" customHeight="1" x14ac:dyDescent="0.3">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row>
    <row r="706" spans="1:25" ht="14.25" customHeight="1" x14ac:dyDescent="0.3">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row>
    <row r="707" spans="1:25" ht="14.25" customHeight="1" x14ac:dyDescent="0.3">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row>
    <row r="708" spans="1:25" ht="14.25" customHeight="1" x14ac:dyDescent="0.3">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row>
    <row r="709" spans="1:25" ht="14.25" customHeight="1" x14ac:dyDescent="0.3">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row>
    <row r="710" spans="1:25" ht="14.25" customHeight="1" x14ac:dyDescent="0.3">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row>
    <row r="711" spans="1:25" ht="14.25" customHeight="1" x14ac:dyDescent="0.3">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row>
    <row r="712" spans="1:25" ht="14.25" customHeight="1" x14ac:dyDescent="0.3">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row>
    <row r="713" spans="1:25" ht="14.25" customHeight="1" x14ac:dyDescent="0.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row>
    <row r="714" spans="1:25" ht="14.25" customHeight="1" x14ac:dyDescent="0.3">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row>
    <row r="715" spans="1:25" ht="14.25" customHeight="1" x14ac:dyDescent="0.3">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row>
    <row r="716" spans="1:25" ht="14.25" customHeight="1" x14ac:dyDescent="0.3">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row>
    <row r="717" spans="1:25" ht="14.25" customHeight="1" x14ac:dyDescent="0.3">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row>
    <row r="718" spans="1:25" ht="14.25" customHeight="1" x14ac:dyDescent="0.3">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row>
    <row r="719" spans="1:25" ht="14.25" customHeight="1" x14ac:dyDescent="0.3">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row>
    <row r="720" spans="1:25" ht="14.25" customHeight="1" x14ac:dyDescent="0.3">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row>
    <row r="721" spans="1:25" ht="14.25" customHeight="1" x14ac:dyDescent="0.3">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row>
    <row r="722" spans="1:25" ht="14.25" customHeight="1" x14ac:dyDescent="0.3">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row>
    <row r="723" spans="1:25" ht="14.25" customHeight="1" x14ac:dyDescent="0.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row>
    <row r="724" spans="1:25" ht="14.25" customHeight="1" x14ac:dyDescent="0.3">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row>
    <row r="725" spans="1:25" ht="14.25" customHeight="1" x14ac:dyDescent="0.3">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row>
    <row r="726" spans="1:25" ht="14.25" customHeight="1" x14ac:dyDescent="0.3">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row>
    <row r="727" spans="1:25" ht="14.25" customHeight="1" x14ac:dyDescent="0.3">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row>
    <row r="728" spans="1:25" ht="14.25" customHeight="1" x14ac:dyDescent="0.3">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row>
    <row r="729" spans="1:25" ht="14.25" customHeight="1" x14ac:dyDescent="0.3">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row>
    <row r="730" spans="1:25" ht="14.25" customHeight="1" x14ac:dyDescent="0.3">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row>
    <row r="731" spans="1:25" ht="14.25" customHeight="1" x14ac:dyDescent="0.3">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row>
    <row r="732" spans="1:25" ht="14.25" customHeight="1" x14ac:dyDescent="0.3">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row>
    <row r="733" spans="1:25" ht="14.25" customHeight="1" x14ac:dyDescent="0.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row>
    <row r="734" spans="1:25" ht="14.25" customHeight="1" x14ac:dyDescent="0.3">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row>
    <row r="735" spans="1:25" ht="14.25" customHeight="1" x14ac:dyDescent="0.3">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row>
    <row r="736" spans="1:25" ht="14.25" customHeight="1" x14ac:dyDescent="0.3">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row>
    <row r="737" spans="1:25" ht="14.25" customHeight="1" x14ac:dyDescent="0.3">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row>
    <row r="738" spans="1:25" ht="14.25" customHeight="1" x14ac:dyDescent="0.3">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row>
    <row r="739" spans="1:25" ht="14.25" customHeight="1" x14ac:dyDescent="0.3">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row>
    <row r="740" spans="1:25" ht="14.25" customHeight="1" x14ac:dyDescent="0.3">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row>
    <row r="741" spans="1:25" ht="14.25" customHeight="1" x14ac:dyDescent="0.3">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row>
    <row r="742" spans="1:25" ht="14.25" customHeight="1" x14ac:dyDescent="0.3">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row>
    <row r="743" spans="1:25" ht="14.25" customHeight="1" x14ac:dyDescent="0.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row>
    <row r="744" spans="1:25" ht="14.25" customHeight="1" x14ac:dyDescent="0.3">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row>
    <row r="745" spans="1:25" ht="14.25" customHeight="1" x14ac:dyDescent="0.3">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row>
    <row r="746" spans="1:25" ht="14.25" customHeight="1" x14ac:dyDescent="0.3">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row>
    <row r="747" spans="1:25" ht="14.25" customHeight="1" x14ac:dyDescent="0.3">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row>
    <row r="748" spans="1:25" ht="14.25" customHeight="1" x14ac:dyDescent="0.3">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row>
    <row r="749" spans="1:25" ht="14.25" customHeight="1" x14ac:dyDescent="0.3">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row>
    <row r="750" spans="1:25" ht="14.25" customHeight="1" x14ac:dyDescent="0.3">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row>
    <row r="751" spans="1:25" ht="14.25" customHeight="1" x14ac:dyDescent="0.3">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row>
    <row r="752" spans="1:25" ht="14.25" customHeight="1" x14ac:dyDescent="0.3">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row>
    <row r="753" spans="1:25" ht="14.25" customHeight="1" x14ac:dyDescent="0.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row>
    <row r="754" spans="1:25" ht="14.25" customHeight="1" x14ac:dyDescent="0.3">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row>
    <row r="755" spans="1:25" ht="14.25" customHeight="1" x14ac:dyDescent="0.3">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row>
    <row r="756" spans="1:25" ht="14.25" customHeight="1" x14ac:dyDescent="0.3">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row>
    <row r="757" spans="1:25" ht="14.25" customHeight="1" x14ac:dyDescent="0.3">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row>
    <row r="758" spans="1:25" ht="14.25" customHeight="1" x14ac:dyDescent="0.3">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row>
    <row r="759" spans="1:25" ht="14.25" customHeight="1" x14ac:dyDescent="0.3">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row>
    <row r="760" spans="1:25" ht="14.25" customHeight="1" x14ac:dyDescent="0.3">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row>
    <row r="761" spans="1:25" ht="14.25" customHeight="1" x14ac:dyDescent="0.3">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row>
    <row r="762" spans="1:25" ht="14.25" customHeight="1" x14ac:dyDescent="0.3">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row>
    <row r="763" spans="1:25" ht="14.25" customHeight="1" x14ac:dyDescent="0.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row>
    <row r="764" spans="1:25" ht="14.25" customHeight="1" x14ac:dyDescent="0.3">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row>
    <row r="765" spans="1:25" ht="14.25" customHeight="1" x14ac:dyDescent="0.3">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row>
    <row r="766" spans="1:25" ht="14.25" customHeight="1" x14ac:dyDescent="0.3">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row>
    <row r="767" spans="1:25" ht="14.25" customHeight="1" x14ac:dyDescent="0.3">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row>
    <row r="768" spans="1:25" ht="14.25" customHeight="1" x14ac:dyDescent="0.3">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row>
    <row r="769" spans="1:25" ht="14.25" customHeight="1" x14ac:dyDescent="0.3">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row>
    <row r="770" spans="1:25" ht="14.25" customHeight="1" x14ac:dyDescent="0.3">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row>
    <row r="771" spans="1:25" ht="14.25" customHeight="1" x14ac:dyDescent="0.3">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row>
    <row r="772" spans="1:25" ht="14.25" customHeight="1" x14ac:dyDescent="0.3">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row>
    <row r="773" spans="1:25" ht="14.25" customHeight="1" x14ac:dyDescent="0.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row>
    <row r="774" spans="1:25" ht="14.25" customHeight="1" x14ac:dyDescent="0.3">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row>
    <row r="775" spans="1:25" ht="14.25" customHeight="1" x14ac:dyDescent="0.3">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row>
    <row r="776" spans="1:25" ht="14.25" customHeight="1" x14ac:dyDescent="0.3">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row>
    <row r="777" spans="1:25" ht="14.25" customHeight="1" x14ac:dyDescent="0.3">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row>
    <row r="778" spans="1:25" ht="14.25" customHeight="1" x14ac:dyDescent="0.3">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row>
    <row r="779" spans="1:25" ht="14.25" customHeight="1" x14ac:dyDescent="0.3">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row>
    <row r="780" spans="1:25" ht="14.25" customHeight="1" x14ac:dyDescent="0.3">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row>
    <row r="781" spans="1:25" ht="14.25" customHeight="1" x14ac:dyDescent="0.3">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row>
    <row r="782" spans="1:25" ht="14.25" customHeight="1" x14ac:dyDescent="0.3">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row>
    <row r="783" spans="1:25" ht="14.25" customHeight="1" x14ac:dyDescent="0.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row>
    <row r="784" spans="1:25" ht="14.25" customHeight="1" x14ac:dyDescent="0.3">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row>
    <row r="785" spans="1:25" ht="14.25" customHeight="1" x14ac:dyDescent="0.3">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row>
    <row r="786" spans="1:25" ht="14.25" customHeight="1" x14ac:dyDescent="0.3">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row>
    <row r="787" spans="1:25" ht="14.25" customHeight="1" x14ac:dyDescent="0.3">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row>
    <row r="788" spans="1:25" ht="14.25" customHeight="1" x14ac:dyDescent="0.3">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row>
    <row r="789" spans="1:25" ht="14.25" customHeight="1" x14ac:dyDescent="0.3">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row>
    <row r="790" spans="1:25" ht="14.25" customHeight="1" x14ac:dyDescent="0.3">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row>
    <row r="791" spans="1:25" ht="14.25" customHeight="1" x14ac:dyDescent="0.3">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row>
    <row r="792" spans="1:25" ht="14.25" customHeight="1" x14ac:dyDescent="0.3">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row>
    <row r="793" spans="1:25" ht="14.25" customHeight="1" x14ac:dyDescent="0.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row>
    <row r="794" spans="1:25" ht="14.25" customHeight="1" x14ac:dyDescent="0.3">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row>
    <row r="795" spans="1:25" ht="14.25" customHeight="1" x14ac:dyDescent="0.3">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row>
    <row r="796" spans="1:25" ht="14.25" customHeight="1" x14ac:dyDescent="0.3">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row>
    <row r="797" spans="1:25" ht="14.25" customHeight="1" x14ac:dyDescent="0.3">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row>
    <row r="798" spans="1:25" ht="14.25" customHeight="1" x14ac:dyDescent="0.3">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row>
    <row r="799" spans="1:25" ht="14.25" customHeight="1" x14ac:dyDescent="0.3">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row>
    <row r="800" spans="1:25" ht="14.25" customHeight="1" x14ac:dyDescent="0.3">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row>
    <row r="801" spans="1:25" ht="14.25" customHeight="1" x14ac:dyDescent="0.3">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row>
    <row r="802" spans="1:25" ht="14.25" customHeight="1" x14ac:dyDescent="0.3">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row>
    <row r="803" spans="1:25" ht="14.25" customHeight="1" x14ac:dyDescent="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row>
    <row r="804" spans="1:25" ht="14.25" customHeight="1" x14ac:dyDescent="0.3">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row>
    <row r="805" spans="1:25" ht="14.25" customHeight="1" x14ac:dyDescent="0.3">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row>
    <row r="806" spans="1:25" ht="14.25" customHeight="1" x14ac:dyDescent="0.3">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row>
    <row r="807" spans="1:25" ht="14.25" customHeight="1" x14ac:dyDescent="0.3">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row>
    <row r="808" spans="1:25" ht="14.25" customHeight="1" x14ac:dyDescent="0.3">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row>
    <row r="809" spans="1:25" ht="14.25" customHeight="1" x14ac:dyDescent="0.3">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row>
    <row r="810" spans="1:25" ht="14.25" customHeight="1" x14ac:dyDescent="0.3">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row>
    <row r="811" spans="1:25" ht="14.25" customHeight="1" x14ac:dyDescent="0.3">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row>
    <row r="812" spans="1:25" ht="14.25" customHeight="1" x14ac:dyDescent="0.3">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row>
    <row r="813" spans="1:25" ht="14.25" customHeight="1" x14ac:dyDescent="0.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row>
    <row r="814" spans="1:25" ht="14.25" customHeight="1" x14ac:dyDescent="0.3">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row>
    <row r="815" spans="1:25" ht="14.25" customHeight="1" x14ac:dyDescent="0.3">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row>
    <row r="816" spans="1:25" ht="14.25" customHeight="1" x14ac:dyDescent="0.3">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row>
    <row r="817" spans="1:25" ht="14.25" customHeight="1" x14ac:dyDescent="0.3">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row>
    <row r="818" spans="1:25" ht="14.25" customHeight="1" x14ac:dyDescent="0.3">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row>
    <row r="819" spans="1:25" ht="14.25" customHeight="1" x14ac:dyDescent="0.3">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row>
    <row r="820" spans="1:25" ht="14.25" customHeight="1" x14ac:dyDescent="0.3">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row>
    <row r="821" spans="1:25" ht="14.25" customHeight="1" x14ac:dyDescent="0.3">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row>
    <row r="822" spans="1:25" ht="14.25" customHeight="1" x14ac:dyDescent="0.3">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row>
    <row r="823" spans="1:25" ht="14.25" customHeight="1" x14ac:dyDescent="0.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row>
    <row r="824" spans="1:25" ht="14.25" customHeight="1" x14ac:dyDescent="0.3">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row>
    <row r="825" spans="1:25" ht="14.25" customHeight="1" x14ac:dyDescent="0.3">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row>
    <row r="826" spans="1:25" ht="14.25" customHeight="1" x14ac:dyDescent="0.3">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row>
    <row r="827" spans="1:25" ht="14.25" customHeight="1" x14ac:dyDescent="0.3">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row>
    <row r="828" spans="1:25" ht="14.25" customHeight="1" x14ac:dyDescent="0.3">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row>
    <row r="829" spans="1:25" ht="14.25" customHeight="1" x14ac:dyDescent="0.3">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row>
    <row r="830" spans="1:25" ht="14.25" customHeight="1" x14ac:dyDescent="0.3">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row>
    <row r="831" spans="1:25" ht="14.25" customHeight="1" x14ac:dyDescent="0.3">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row>
    <row r="832" spans="1:25" ht="14.25" customHeight="1" x14ac:dyDescent="0.3">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row>
    <row r="833" spans="1:25" ht="14.25" customHeight="1" x14ac:dyDescent="0.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row>
    <row r="834" spans="1:25" ht="14.25" customHeight="1" x14ac:dyDescent="0.3">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row>
    <row r="835" spans="1:25" ht="14.25" customHeight="1" x14ac:dyDescent="0.3">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row>
    <row r="836" spans="1:25" ht="14.25" customHeight="1" x14ac:dyDescent="0.3">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row>
    <row r="837" spans="1:25" ht="14.25" customHeight="1" x14ac:dyDescent="0.3">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row>
    <row r="838" spans="1:25" ht="14.25" customHeight="1" x14ac:dyDescent="0.3">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row>
    <row r="839" spans="1:25" ht="14.25" customHeight="1" x14ac:dyDescent="0.3">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row>
    <row r="840" spans="1:25" ht="14.25" customHeight="1" x14ac:dyDescent="0.3">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row>
    <row r="841" spans="1:25" ht="14.25" customHeight="1" x14ac:dyDescent="0.3">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row>
    <row r="842" spans="1:25" ht="14.25" customHeight="1" x14ac:dyDescent="0.3">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row>
    <row r="843" spans="1:25" ht="14.25" customHeight="1" x14ac:dyDescent="0.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row>
    <row r="844" spans="1:25" ht="14.25" customHeight="1" x14ac:dyDescent="0.3">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row>
    <row r="845" spans="1:25" ht="14.25" customHeight="1" x14ac:dyDescent="0.3">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row>
    <row r="846" spans="1:25" ht="14.25" customHeight="1" x14ac:dyDescent="0.3">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row>
    <row r="847" spans="1:25" ht="14.25" customHeight="1" x14ac:dyDescent="0.3">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row>
    <row r="848" spans="1:25" ht="14.25" customHeight="1" x14ac:dyDescent="0.3">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row>
    <row r="849" spans="1:25" ht="14.25" customHeight="1" x14ac:dyDescent="0.3">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row>
    <row r="850" spans="1:25" ht="14.25" customHeight="1" x14ac:dyDescent="0.3">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row>
    <row r="851" spans="1:25" ht="14.25" customHeight="1" x14ac:dyDescent="0.3">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row>
    <row r="852" spans="1:25" ht="14.25" customHeight="1" x14ac:dyDescent="0.3">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row>
    <row r="853" spans="1:25" ht="14.25" customHeight="1" x14ac:dyDescent="0.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row>
    <row r="854" spans="1:25" ht="14.25" customHeight="1" x14ac:dyDescent="0.3">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row>
    <row r="855" spans="1:25" ht="14.25" customHeight="1" x14ac:dyDescent="0.3">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row>
    <row r="856" spans="1:25" ht="14.25" customHeight="1" x14ac:dyDescent="0.3">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row>
    <row r="857" spans="1:25" ht="14.25" customHeight="1" x14ac:dyDescent="0.3">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row>
    <row r="858" spans="1:25" ht="14.25" customHeight="1" x14ac:dyDescent="0.3">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row>
    <row r="859" spans="1:25" ht="14.25" customHeight="1" x14ac:dyDescent="0.3">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row>
    <row r="860" spans="1:25" ht="14.25" customHeight="1" x14ac:dyDescent="0.3">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row>
    <row r="861" spans="1:25" ht="14.25" customHeight="1" x14ac:dyDescent="0.3">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row>
    <row r="862" spans="1:25" ht="14.25" customHeight="1" x14ac:dyDescent="0.3">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row>
    <row r="863" spans="1:25" ht="14.25" customHeight="1" x14ac:dyDescent="0.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row>
    <row r="864" spans="1:25" ht="14.25" customHeight="1" x14ac:dyDescent="0.3">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row>
    <row r="865" spans="1:25" ht="14.25" customHeight="1" x14ac:dyDescent="0.3">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row>
    <row r="866" spans="1:25" ht="14.25" customHeight="1" x14ac:dyDescent="0.3">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row>
    <row r="867" spans="1:25" ht="14.25" customHeight="1" x14ac:dyDescent="0.3">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row>
    <row r="868" spans="1:25" ht="14.25" customHeight="1" x14ac:dyDescent="0.3">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row>
    <row r="869" spans="1:25" ht="14.25" customHeight="1" x14ac:dyDescent="0.3">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row>
    <row r="870" spans="1:25" ht="14.25" customHeight="1" x14ac:dyDescent="0.3">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row>
    <row r="871" spans="1:25" ht="14.25" customHeight="1" x14ac:dyDescent="0.3">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row>
    <row r="872" spans="1:25" ht="14.25" customHeight="1" x14ac:dyDescent="0.3">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row>
    <row r="873" spans="1:25" ht="14.25" customHeight="1" x14ac:dyDescent="0.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row>
    <row r="874" spans="1:25" ht="14.25" customHeight="1" x14ac:dyDescent="0.3">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row>
    <row r="875" spans="1:25" ht="14.25" customHeight="1" x14ac:dyDescent="0.3">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row>
    <row r="876" spans="1:25" ht="14.25" customHeight="1" x14ac:dyDescent="0.3">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row>
    <row r="877" spans="1:25" ht="14.25" customHeight="1" x14ac:dyDescent="0.3">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row>
    <row r="878" spans="1:25" ht="14.25" customHeight="1" x14ac:dyDescent="0.3">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row>
    <row r="879" spans="1:25" ht="14.25" customHeight="1" x14ac:dyDescent="0.3">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row>
    <row r="880" spans="1:25" ht="14.25" customHeight="1" x14ac:dyDescent="0.3">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row>
    <row r="881" spans="1:25" ht="14.25" customHeight="1" x14ac:dyDescent="0.3">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row>
    <row r="882" spans="1:25" ht="14.25" customHeight="1" x14ac:dyDescent="0.3">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row>
    <row r="883" spans="1:25" ht="14.25" customHeight="1" x14ac:dyDescent="0.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row>
    <row r="884" spans="1:25" ht="14.25" customHeight="1" x14ac:dyDescent="0.3">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row>
    <row r="885" spans="1:25" ht="14.25" customHeight="1" x14ac:dyDescent="0.3">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row>
    <row r="886" spans="1:25" ht="14.25" customHeight="1" x14ac:dyDescent="0.3">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row>
    <row r="887" spans="1:25" ht="14.25" customHeight="1" x14ac:dyDescent="0.3">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row>
    <row r="888" spans="1:25" ht="14.25" customHeight="1" x14ac:dyDescent="0.3">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row>
    <row r="889" spans="1:25" ht="14.25" customHeight="1" x14ac:dyDescent="0.3">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row>
    <row r="890" spans="1:25" ht="14.25" customHeight="1" x14ac:dyDescent="0.3">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row>
    <row r="891" spans="1:25" ht="14.25" customHeight="1" x14ac:dyDescent="0.3">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row>
    <row r="892" spans="1:25" ht="14.25" customHeight="1" x14ac:dyDescent="0.3">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row>
    <row r="893" spans="1:25" ht="14.25" customHeight="1" x14ac:dyDescent="0.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row>
    <row r="894" spans="1:25" ht="14.25" customHeight="1" x14ac:dyDescent="0.3">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row>
    <row r="895" spans="1:25" ht="14.25" customHeight="1" x14ac:dyDescent="0.3">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row>
    <row r="896" spans="1:25" ht="14.25" customHeight="1" x14ac:dyDescent="0.3">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row>
    <row r="897" spans="1:25" ht="14.25" customHeight="1" x14ac:dyDescent="0.3">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row>
    <row r="898" spans="1:25" ht="14.25" customHeight="1" x14ac:dyDescent="0.3">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row>
    <row r="899" spans="1:25" ht="14.25" customHeight="1" x14ac:dyDescent="0.3">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row>
    <row r="900" spans="1:25" ht="14.25" customHeight="1" x14ac:dyDescent="0.3">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row>
    <row r="901" spans="1:25" ht="14.25" customHeight="1" x14ac:dyDescent="0.3">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row>
    <row r="902" spans="1:25" ht="14.25" customHeight="1" x14ac:dyDescent="0.3">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row>
    <row r="903" spans="1:25" ht="14.25" customHeight="1" x14ac:dyDescent="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row>
    <row r="904" spans="1:25" ht="14.25" customHeight="1" x14ac:dyDescent="0.3">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row>
    <row r="905" spans="1:25" ht="14.25" customHeight="1" x14ac:dyDescent="0.3">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row>
    <row r="906" spans="1:25" ht="14.25" customHeight="1" x14ac:dyDescent="0.3">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row>
    <row r="907" spans="1:25" ht="14.25" customHeight="1" x14ac:dyDescent="0.3">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row>
    <row r="908" spans="1:25" ht="14.25" customHeight="1" x14ac:dyDescent="0.3">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row>
    <row r="909" spans="1:25" ht="14.25" customHeight="1" x14ac:dyDescent="0.3">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row>
    <row r="910" spans="1:25" ht="14.25" customHeight="1" x14ac:dyDescent="0.3">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row>
    <row r="911" spans="1:25" ht="14.25" customHeight="1" x14ac:dyDescent="0.3">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row>
    <row r="912" spans="1:25" ht="14.25" customHeight="1" x14ac:dyDescent="0.3">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row>
    <row r="913" spans="1:25" ht="14.25" customHeight="1" x14ac:dyDescent="0.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row>
    <row r="914" spans="1:25" ht="14.25" customHeight="1" x14ac:dyDescent="0.3">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row>
    <row r="915" spans="1:25" ht="14.25" customHeight="1" x14ac:dyDescent="0.3">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row>
    <row r="916" spans="1:25" ht="14.25" customHeight="1" x14ac:dyDescent="0.3">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row>
    <row r="917" spans="1:25" ht="14.25" customHeight="1" x14ac:dyDescent="0.3">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row>
    <row r="918" spans="1:25" ht="14.25" customHeight="1" x14ac:dyDescent="0.3">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row>
    <row r="919" spans="1:25" ht="14.25" customHeight="1" x14ac:dyDescent="0.3">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row>
    <row r="920" spans="1:25" ht="14.25" customHeight="1" x14ac:dyDescent="0.3">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row>
    <row r="921" spans="1:25" ht="14.25" customHeight="1" x14ac:dyDescent="0.3">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row>
    <row r="922" spans="1:25" ht="14.25" customHeight="1" x14ac:dyDescent="0.3">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row>
    <row r="923" spans="1:25" ht="14.25" customHeight="1" x14ac:dyDescent="0.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row>
    <row r="924" spans="1:25" ht="14.25" customHeight="1" x14ac:dyDescent="0.3">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row>
    <row r="925" spans="1:25" ht="14.25" customHeight="1" x14ac:dyDescent="0.3">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row>
    <row r="926" spans="1:25" ht="14.25" customHeight="1" x14ac:dyDescent="0.3">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row>
    <row r="927" spans="1:25" ht="14.25" customHeight="1" x14ac:dyDescent="0.3">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row>
    <row r="928" spans="1:25" ht="14.25" customHeight="1" x14ac:dyDescent="0.3">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row>
    <row r="929" spans="1:25" ht="14.25" customHeight="1" x14ac:dyDescent="0.3">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row>
    <row r="930" spans="1:25" ht="14.25" customHeight="1" x14ac:dyDescent="0.3">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row>
    <row r="931" spans="1:25" ht="14.25" customHeight="1" x14ac:dyDescent="0.3">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row>
    <row r="932" spans="1:25" ht="14.25" customHeight="1" x14ac:dyDescent="0.3">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row>
    <row r="933" spans="1:25" ht="14.25" customHeight="1" x14ac:dyDescent="0.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row>
    <row r="934" spans="1:25" ht="14.25" customHeight="1" x14ac:dyDescent="0.3">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row>
    <row r="935" spans="1:25" ht="14.25" customHeight="1" x14ac:dyDescent="0.3">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row>
    <row r="936" spans="1:25" ht="14.25" customHeight="1" x14ac:dyDescent="0.3">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row>
    <row r="937" spans="1:25" ht="14.25" customHeight="1" x14ac:dyDescent="0.3">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row>
    <row r="938" spans="1:25" ht="14.25" customHeight="1" x14ac:dyDescent="0.3">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row>
    <row r="939" spans="1:25" ht="14.25" customHeight="1" x14ac:dyDescent="0.3">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row>
    <row r="940" spans="1:25" ht="14.25" customHeight="1" x14ac:dyDescent="0.3">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row>
    <row r="941" spans="1:25" ht="14.25" customHeight="1" x14ac:dyDescent="0.3">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row>
    <row r="942" spans="1:25" ht="14.25" customHeight="1" x14ac:dyDescent="0.3">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row>
    <row r="943" spans="1:25" ht="14.25" customHeight="1" x14ac:dyDescent="0.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row>
    <row r="944" spans="1:25" ht="14.25" customHeight="1" x14ac:dyDescent="0.3">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row>
    <row r="945" spans="1:25" ht="14.25" customHeight="1" x14ac:dyDescent="0.3">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row>
    <row r="946" spans="1:25" ht="14.25" customHeight="1" x14ac:dyDescent="0.3">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row>
    <row r="947" spans="1:25" ht="14.25" customHeight="1" x14ac:dyDescent="0.3">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row>
    <row r="948" spans="1:25" ht="14.25" customHeight="1" x14ac:dyDescent="0.3">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row>
    <row r="949" spans="1:25" ht="14.25" customHeight="1" x14ac:dyDescent="0.3">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row>
    <row r="950" spans="1:25" ht="14.25" customHeight="1" x14ac:dyDescent="0.3">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row>
    <row r="951" spans="1:25" ht="14.25" customHeight="1" x14ac:dyDescent="0.3">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row>
    <row r="952" spans="1:25" ht="14.25" customHeight="1" x14ac:dyDescent="0.3">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row>
    <row r="953" spans="1:25" ht="14.25" customHeight="1" x14ac:dyDescent="0.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row>
    <row r="954" spans="1:25" ht="14.25" customHeight="1" x14ac:dyDescent="0.3">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row>
    <row r="955" spans="1:25" ht="14.25" customHeight="1" x14ac:dyDescent="0.3">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row>
    <row r="956" spans="1:25" ht="14.25" customHeight="1" x14ac:dyDescent="0.3">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row>
    <row r="957" spans="1:25" ht="14.25" customHeight="1" x14ac:dyDescent="0.3">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row>
    <row r="958" spans="1:25" ht="14.25" customHeight="1" x14ac:dyDescent="0.3">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row>
    <row r="959" spans="1:25" ht="14.25" customHeight="1" x14ac:dyDescent="0.3">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row>
    <row r="960" spans="1:25" ht="14.25" customHeight="1" x14ac:dyDescent="0.3">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row>
    <row r="961" spans="1:25" ht="14.25" customHeight="1" x14ac:dyDescent="0.3">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row>
    <row r="962" spans="1:25" ht="14.25" customHeight="1" x14ac:dyDescent="0.3">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row>
    <row r="963" spans="1:25" ht="14.25" customHeight="1" x14ac:dyDescent="0.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row>
    <row r="964" spans="1:25" ht="14.25" customHeight="1" x14ac:dyDescent="0.3">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row>
    <row r="965" spans="1:25" ht="14.25" customHeight="1" x14ac:dyDescent="0.3">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row>
    <row r="966" spans="1:25" ht="14.25" customHeight="1" x14ac:dyDescent="0.3">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row>
    <row r="967" spans="1:25" ht="14.25" customHeight="1" x14ac:dyDescent="0.3">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row>
    <row r="968" spans="1:25" ht="14.25" customHeight="1" x14ac:dyDescent="0.3">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row>
    <row r="969" spans="1:25" ht="14.25" customHeight="1" x14ac:dyDescent="0.3">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row>
    <row r="970" spans="1:25" ht="14.25" customHeight="1" x14ac:dyDescent="0.3">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row>
    <row r="971" spans="1:25" ht="14.25" customHeight="1" x14ac:dyDescent="0.3">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row>
    <row r="972" spans="1:25" ht="14.25" customHeight="1" x14ac:dyDescent="0.3">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row>
    <row r="973" spans="1:25" ht="14.25" customHeight="1" x14ac:dyDescent="0.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row>
    <row r="974" spans="1:25" ht="14.25" customHeight="1" x14ac:dyDescent="0.3">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row>
    <row r="975" spans="1:25" ht="14.25" customHeight="1" x14ac:dyDescent="0.3">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row>
    <row r="976" spans="1:25" ht="14.25" customHeight="1" x14ac:dyDescent="0.3">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row>
    <row r="977" spans="1:25" ht="14.25" customHeight="1" x14ac:dyDescent="0.3">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row>
    <row r="978" spans="1:25" ht="14.25" customHeight="1" x14ac:dyDescent="0.3">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row>
    <row r="979" spans="1:25" ht="14.25" customHeight="1" x14ac:dyDescent="0.3">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row>
    <row r="980" spans="1:25" ht="14.25" customHeight="1" x14ac:dyDescent="0.3">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row>
    <row r="981" spans="1:25" ht="14.25" customHeight="1" x14ac:dyDescent="0.3">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row>
    <row r="982" spans="1:25" ht="14.25" customHeight="1" x14ac:dyDescent="0.3">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row>
    <row r="983" spans="1:25" ht="14.25" customHeight="1" x14ac:dyDescent="0.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row>
    <row r="984" spans="1:25" ht="14.25" customHeight="1" x14ac:dyDescent="0.3">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row>
    <row r="985" spans="1:25" ht="14.25" customHeight="1" x14ac:dyDescent="0.3">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row>
    <row r="986" spans="1:25" ht="14.25" customHeight="1" x14ac:dyDescent="0.3">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row>
    <row r="987" spans="1:25" ht="14.25" customHeight="1" x14ac:dyDescent="0.3">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row>
    <row r="988" spans="1:25" ht="14.25" customHeight="1" x14ac:dyDescent="0.3">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row>
    <row r="989" spans="1:25" ht="14.25" customHeight="1" x14ac:dyDescent="0.3">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row>
    <row r="990" spans="1:25" ht="14.25" customHeight="1" x14ac:dyDescent="0.3">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row>
    <row r="991" spans="1:25" ht="14.25" customHeight="1" x14ac:dyDescent="0.3">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row>
    <row r="992" spans="1:25" ht="14.25" customHeight="1" x14ac:dyDescent="0.3">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row>
    <row r="993" spans="1:25" ht="14.25" customHeight="1" x14ac:dyDescent="0.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row>
    <row r="994" spans="1:25" ht="14.25" customHeight="1" x14ac:dyDescent="0.3">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row>
    <row r="995" spans="1:25" ht="14.25" customHeight="1" x14ac:dyDescent="0.3">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row>
    <row r="996" spans="1:25" ht="14.25" customHeight="1" x14ac:dyDescent="0.3">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row>
    <row r="997" spans="1:25" ht="14.25" customHeight="1" x14ac:dyDescent="0.3">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row>
    <row r="998" spans="1:25" ht="14.25" customHeight="1" x14ac:dyDescent="0.3">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row>
    <row r="999" spans="1:25" ht="14.25" customHeight="1" x14ac:dyDescent="0.3">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1"/>
  <sheetViews>
    <sheetView workbookViewId="0">
      <pane ySplit="1" topLeftCell="A2" activePane="bottomLeft" state="frozen"/>
      <selection pane="bottomLeft" activeCell="B3" sqref="B3"/>
    </sheetView>
  </sheetViews>
  <sheetFormatPr defaultColWidth="14.44140625" defaultRowHeight="15" customHeight="1" x14ac:dyDescent="0.3"/>
  <cols>
    <col min="1" max="1" width="11.88671875" customWidth="1"/>
    <col min="2" max="2" width="13.33203125" customWidth="1"/>
    <col min="3" max="3" width="297" customWidth="1"/>
    <col min="4" max="4" width="318.88671875" customWidth="1"/>
    <col min="5" max="5" width="66.44140625" customWidth="1"/>
    <col min="6" max="6" width="70.33203125" customWidth="1"/>
    <col min="7" max="7" width="115.109375" customWidth="1"/>
    <col min="8" max="8" width="79.6640625" customWidth="1"/>
    <col min="9" max="9" width="15.44140625" customWidth="1"/>
    <col min="10" max="10" width="223.5546875" customWidth="1"/>
    <col min="11" max="12" width="8.6640625" customWidth="1"/>
  </cols>
  <sheetData>
    <row r="1" spans="1:12" ht="14.25" customHeight="1" x14ac:dyDescent="0.3">
      <c r="A1" s="33" t="s">
        <v>575</v>
      </c>
      <c r="B1" s="34" t="s">
        <v>576</v>
      </c>
      <c r="C1" s="34" t="s">
        <v>577</v>
      </c>
      <c r="D1" s="34" t="s">
        <v>578</v>
      </c>
      <c r="E1" s="34" t="s">
        <v>579</v>
      </c>
      <c r="F1" s="34" t="s">
        <v>580</v>
      </c>
      <c r="G1" s="34" t="s">
        <v>581</v>
      </c>
      <c r="H1" s="34" t="s">
        <v>582</v>
      </c>
      <c r="I1" s="34" t="s">
        <v>583</v>
      </c>
      <c r="J1" s="34" t="s">
        <v>584</v>
      </c>
      <c r="K1" s="29"/>
      <c r="L1" s="29"/>
    </row>
    <row r="2" spans="1:12" ht="14.25" customHeight="1" x14ac:dyDescent="0.3">
      <c r="A2" s="35">
        <v>46182</v>
      </c>
      <c r="B2" s="31" t="s">
        <v>585</v>
      </c>
      <c r="C2" s="31" t="s">
        <v>586</v>
      </c>
      <c r="D2" s="31" t="s">
        <v>587</v>
      </c>
      <c r="E2" s="31" t="s">
        <v>588</v>
      </c>
      <c r="F2" s="31" t="s">
        <v>69</v>
      </c>
      <c r="G2" s="31" t="s">
        <v>589</v>
      </c>
      <c r="H2" s="31">
        <v>15</v>
      </c>
      <c r="I2" s="31" t="s">
        <v>589</v>
      </c>
      <c r="J2" s="31" t="s">
        <v>590</v>
      </c>
      <c r="K2" s="29"/>
      <c r="L2" s="29"/>
    </row>
    <row r="3" spans="1:12" ht="14.25" customHeight="1" x14ac:dyDescent="0.3">
      <c r="A3" s="35">
        <v>46182</v>
      </c>
      <c r="B3" s="36" t="s">
        <v>591</v>
      </c>
      <c r="C3" s="36" t="s">
        <v>592</v>
      </c>
      <c r="D3" s="36" t="s">
        <v>593</v>
      </c>
      <c r="E3" s="36">
        <v>27</v>
      </c>
      <c r="F3" s="36" t="s">
        <v>68</v>
      </c>
      <c r="G3" s="36" t="s">
        <v>589</v>
      </c>
      <c r="H3" s="28"/>
      <c r="I3" s="36" t="s">
        <v>589</v>
      </c>
      <c r="J3" s="36" t="s">
        <v>594</v>
      </c>
      <c r="K3" s="28"/>
      <c r="L3" s="28"/>
    </row>
    <row r="4" spans="1:12" ht="14.25" customHeight="1" x14ac:dyDescent="0.3">
      <c r="A4" s="35">
        <v>46182</v>
      </c>
      <c r="B4" s="31" t="s">
        <v>595</v>
      </c>
      <c r="C4" s="31" t="s">
        <v>596</v>
      </c>
      <c r="D4" s="31" t="s">
        <v>597</v>
      </c>
      <c r="E4" s="31" t="s">
        <v>588</v>
      </c>
      <c r="F4" s="31" t="s">
        <v>69</v>
      </c>
      <c r="G4" s="31" t="s">
        <v>589</v>
      </c>
      <c r="H4" s="29"/>
      <c r="I4" s="31" t="s">
        <v>589</v>
      </c>
      <c r="J4" s="31" t="s">
        <v>598</v>
      </c>
      <c r="K4" s="29"/>
      <c r="L4" s="29"/>
    </row>
    <row r="5" spans="1:12" ht="14.25" customHeight="1" x14ac:dyDescent="0.3">
      <c r="A5" s="35">
        <v>46182</v>
      </c>
      <c r="B5" s="31" t="s">
        <v>599</v>
      </c>
      <c r="C5" s="31" t="s">
        <v>600</v>
      </c>
      <c r="D5" s="31" t="s">
        <v>601</v>
      </c>
      <c r="E5" s="31">
        <v>8</v>
      </c>
      <c r="F5" s="31" t="s">
        <v>69</v>
      </c>
      <c r="G5" s="31" t="s">
        <v>589</v>
      </c>
      <c r="H5" s="29"/>
      <c r="I5" s="31" t="s">
        <v>589</v>
      </c>
      <c r="J5" s="31" t="s">
        <v>602</v>
      </c>
      <c r="K5" s="29"/>
      <c r="L5" s="29"/>
    </row>
    <row r="6" spans="1:12" ht="14.25" customHeight="1" x14ac:dyDescent="0.3">
      <c r="A6" s="35">
        <v>46182</v>
      </c>
      <c r="B6" s="31" t="s">
        <v>603</v>
      </c>
      <c r="C6" s="31" t="s">
        <v>604</v>
      </c>
      <c r="D6" s="31" t="s">
        <v>605</v>
      </c>
      <c r="E6" s="31">
        <v>4</v>
      </c>
      <c r="F6" s="31" t="s">
        <v>68</v>
      </c>
      <c r="G6" s="31" t="s">
        <v>589</v>
      </c>
      <c r="H6" s="31"/>
      <c r="I6" s="31" t="s">
        <v>589</v>
      </c>
      <c r="J6" s="31" t="s">
        <v>606</v>
      </c>
      <c r="K6" s="29"/>
      <c r="L6" s="29"/>
    </row>
    <row r="7" spans="1:12" ht="14.25" customHeight="1" x14ac:dyDescent="0.3">
      <c r="A7" s="35">
        <v>46182</v>
      </c>
      <c r="B7" s="31" t="s">
        <v>607</v>
      </c>
      <c r="C7" s="31" t="s">
        <v>608</v>
      </c>
      <c r="D7" s="31" t="s">
        <v>608</v>
      </c>
      <c r="E7" s="31">
        <v>5</v>
      </c>
      <c r="F7" s="31" t="s">
        <v>69</v>
      </c>
      <c r="G7" s="31" t="s">
        <v>589</v>
      </c>
      <c r="H7" s="29"/>
      <c r="I7" s="31" t="s">
        <v>589</v>
      </c>
      <c r="J7" s="31" t="s">
        <v>609</v>
      </c>
      <c r="K7" s="29"/>
      <c r="L7" s="29"/>
    </row>
    <row r="8" spans="1:12" ht="14.25" customHeight="1" x14ac:dyDescent="0.3">
      <c r="A8" s="35">
        <v>46183</v>
      </c>
      <c r="B8" s="31" t="s">
        <v>610</v>
      </c>
      <c r="C8" s="31" t="s">
        <v>611</v>
      </c>
      <c r="D8" s="31" t="s">
        <v>612</v>
      </c>
      <c r="E8" s="29"/>
      <c r="F8" s="29"/>
      <c r="G8" s="29"/>
      <c r="H8" s="29"/>
      <c r="I8" s="29"/>
      <c r="J8" s="29"/>
      <c r="K8" s="29"/>
      <c r="L8" s="29"/>
    </row>
    <row r="9" spans="1:12" ht="14.25" customHeight="1" x14ac:dyDescent="0.3">
      <c r="A9" s="35">
        <v>46183</v>
      </c>
      <c r="B9" s="36" t="s">
        <v>591</v>
      </c>
      <c r="C9" s="36" t="s">
        <v>592</v>
      </c>
      <c r="D9" s="36" t="s">
        <v>613</v>
      </c>
      <c r="E9" s="31">
        <v>10</v>
      </c>
      <c r="F9" s="31" t="s">
        <v>68</v>
      </c>
      <c r="G9" s="31" t="s">
        <v>589</v>
      </c>
      <c r="H9" s="29"/>
      <c r="I9" s="31" t="s">
        <v>589</v>
      </c>
      <c r="J9" s="29"/>
      <c r="K9" s="29"/>
      <c r="L9" s="29"/>
    </row>
    <row r="10" spans="1:12" ht="14.25" customHeight="1" x14ac:dyDescent="0.3">
      <c r="A10" s="35">
        <v>46183</v>
      </c>
      <c r="B10" s="31" t="s">
        <v>607</v>
      </c>
      <c r="C10" s="31" t="s">
        <v>614</v>
      </c>
      <c r="D10" s="31" t="s">
        <v>615</v>
      </c>
      <c r="E10" s="29"/>
      <c r="F10" s="29"/>
      <c r="G10" s="29"/>
      <c r="H10" s="29"/>
      <c r="I10" s="29"/>
      <c r="J10" s="29"/>
      <c r="K10" s="29"/>
      <c r="L10" s="29"/>
    </row>
    <row r="11" spans="1:12" ht="14.25" customHeight="1" x14ac:dyDescent="0.3">
      <c r="A11" s="35">
        <v>46183</v>
      </c>
      <c r="B11" s="31" t="s">
        <v>585</v>
      </c>
      <c r="C11" s="31" t="s">
        <v>616</v>
      </c>
      <c r="D11" s="31" t="s">
        <v>617</v>
      </c>
      <c r="E11" s="31" t="s">
        <v>618</v>
      </c>
      <c r="F11" s="31" t="s">
        <v>68</v>
      </c>
      <c r="G11" s="31" t="s">
        <v>589</v>
      </c>
      <c r="H11" s="31">
        <v>13</v>
      </c>
      <c r="I11" s="31" t="s">
        <v>619</v>
      </c>
      <c r="J11" s="31" t="s">
        <v>620</v>
      </c>
      <c r="K11" s="29"/>
      <c r="L11" s="29"/>
    </row>
    <row r="12" spans="1:12" ht="14.25" customHeight="1" x14ac:dyDescent="0.3">
      <c r="A12" s="35">
        <v>46183</v>
      </c>
      <c r="B12" s="31" t="s">
        <v>603</v>
      </c>
      <c r="C12" s="31" t="s">
        <v>604</v>
      </c>
      <c r="D12" s="31" t="s">
        <v>605</v>
      </c>
      <c r="E12" s="31">
        <v>2</v>
      </c>
      <c r="F12" s="31" t="s">
        <v>69</v>
      </c>
      <c r="G12" s="31" t="s">
        <v>589</v>
      </c>
      <c r="H12" s="31" t="s">
        <v>589</v>
      </c>
      <c r="I12" s="31" t="s">
        <v>589</v>
      </c>
      <c r="J12" s="31" t="s">
        <v>606</v>
      </c>
      <c r="K12" s="29"/>
      <c r="L12" s="29"/>
    </row>
    <row r="13" spans="1:12" ht="14.25" customHeight="1" x14ac:dyDescent="0.3">
      <c r="A13" s="35">
        <v>46183</v>
      </c>
      <c r="B13" s="31" t="s">
        <v>599</v>
      </c>
      <c r="C13" s="31" t="s">
        <v>600</v>
      </c>
      <c r="D13" s="31" t="s">
        <v>621</v>
      </c>
      <c r="E13" s="31">
        <v>10</v>
      </c>
      <c r="F13" s="31" t="s">
        <v>622</v>
      </c>
      <c r="G13" s="31" t="s">
        <v>589</v>
      </c>
      <c r="H13" s="31"/>
      <c r="I13" s="31" t="s">
        <v>589</v>
      </c>
      <c r="J13" s="31" t="s">
        <v>602</v>
      </c>
      <c r="K13" s="29"/>
      <c r="L13" s="29"/>
    </row>
    <row r="14" spans="1:12" ht="14.25" customHeight="1" x14ac:dyDescent="0.3">
      <c r="A14" s="35">
        <v>46184</v>
      </c>
      <c r="B14" s="31" t="s">
        <v>603</v>
      </c>
      <c r="C14" s="31" t="s">
        <v>604</v>
      </c>
      <c r="D14" s="31" t="s">
        <v>623</v>
      </c>
      <c r="E14" s="31">
        <v>6</v>
      </c>
      <c r="F14" s="31" t="s">
        <v>68</v>
      </c>
      <c r="G14" s="31" t="s">
        <v>589</v>
      </c>
      <c r="H14" s="31" t="s">
        <v>589</v>
      </c>
      <c r="I14" s="31" t="s">
        <v>589</v>
      </c>
      <c r="J14" s="31" t="s">
        <v>606</v>
      </c>
      <c r="K14" s="29"/>
      <c r="L14" s="29"/>
    </row>
    <row r="15" spans="1:12" ht="14.25" customHeight="1" x14ac:dyDescent="0.3">
      <c r="A15" s="35">
        <v>46184</v>
      </c>
      <c r="B15" s="31" t="s">
        <v>595</v>
      </c>
      <c r="C15" s="31" t="s">
        <v>624</v>
      </c>
      <c r="D15" s="31" t="s">
        <v>625</v>
      </c>
      <c r="E15" s="31">
        <v>10</v>
      </c>
      <c r="F15" s="31" t="s">
        <v>68</v>
      </c>
      <c r="G15" s="31" t="s">
        <v>589</v>
      </c>
      <c r="H15" s="31">
        <v>0</v>
      </c>
      <c r="I15" s="31" t="s">
        <v>589</v>
      </c>
      <c r="J15" s="31" t="s">
        <v>626</v>
      </c>
      <c r="K15" s="29"/>
      <c r="L15" s="29"/>
    </row>
    <row r="16" spans="1:12" ht="14.25" customHeight="1" x14ac:dyDescent="0.3">
      <c r="A16" s="35">
        <v>46184</v>
      </c>
      <c r="B16" s="36" t="s">
        <v>591</v>
      </c>
      <c r="C16" s="36" t="s">
        <v>592</v>
      </c>
      <c r="D16" s="36" t="s">
        <v>613</v>
      </c>
      <c r="E16" s="31">
        <v>10</v>
      </c>
      <c r="F16" s="31" t="s">
        <v>68</v>
      </c>
      <c r="G16" s="31" t="s">
        <v>589</v>
      </c>
      <c r="H16" s="29"/>
      <c r="I16" s="31" t="s">
        <v>589</v>
      </c>
      <c r="J16" s="29"/>
      <c r="K16" s="29"/>
      <c r="L16" s="29"/>
    </row>
    <row r="17" spans="1:12" ht="14.25" customHeight="1" x14ac:dyDescent="0.3">
      <c r="A17" s="35">
        <v>46184</v>
      </c>
      <c r="B17" s="31" t="s">
        <v>585</v>
      </c>
      <c r="C17" s="31" t="s">
        <v>627</v>
      </c>
      <c r="D17" s="31" t="s">
        <v>628</v>
      </c>
      <c r="E17" s="31">
        <v>49</v>
      </c>
      <c r="F17" s="31" t="s">
        <v>69</v>
      </c>
      <c r="G17" s="31" t="s">
        <v>589</v>
      </c>
      <c r="H17" s="31" t="s">
        <v>589</v>
      </c>
      <c r="I17" s="31" t="s">
        <v>589</v>
      </c>
      <c r="J17" s="31" t="s">
        <v>629</v>
      </c>
      <c r="K17" s="29"/>
      <c r="L17" s="29"/>
    </row>
    <row r="18" spans="1:12" ht="14.25" customHeight="1" x14ac:dyDescent="0.3">
      <c r="A18" s="35">
        <v>46184</v>
      </c>
      <c r="B18" s="31" t="s">
        <v>599</v>
      </c>
      <c r="C18" s="31" t="s">
        <v>630</v>
      </c>
      <c r="D18" s="31" t="s">
        <v>631</v>
      </c>
      <c r="E18" s="31">
        <v>32</v>
      </c>
      <c r="F18" s="31" t="s">
        <v>622</v>
      </c>
      <c r="G18" s="31" t="s">
        <v>589</v>
      </c>
      <c r="H18" s="29"/>
      <c r="I18" s="31" t="s">
        <v>589</v>
      </c>
      <c r="J18" s="29"/>
      <c r="K18" s="29"/>
      <c r="L18" s="29"/>
    </row>
    <row r="19" spans="1:12" ht="14.25" customHeight="1" x14ac:dyDescent="0.3">
      <c r="A19" s="35">
        <v>46184</v>
      </c>
      <c r="B19" s="31" t="s">
        <v>607</v>
      </c>
      <c r="C19" s="31" t="s">
        <v>614</v>
      </c>
      <c r="D19" s="31" t="s">
        <v>632</v>
      </c>
      <c r="E19" s="31">
        <v>10</v>
      </c>
      <c r="F19" s="31" t="s">
        <v>69</v>
      </c>
      <c r="G19" s="31" t="s">
        <v>589</v>
      </c>
      <c r="H19" s="29"/>
      <c r="I19" s="31" t="s">
        <v>589</v>
      </c>
      <c r="J19" s="31" t="s">
        <v>633</v>
      </c>
      <c r="K19" s="29"/>
      <c r="L19" s="29"/>
    </row>
    <row r="20" spans="1:12" ht="14.25" customHeight="1" x14ac:dyDescent="0.3">
      <c r="A20" s="35">
        <v>46185</v>
      </c>
      <c r="B20" s="31" t="s">
        <v>595</v>
      </c>
      <c r="C20" s="31" t="s">
        <v>634</v>
      </c>
      <c r="D20" s="31" t="s">
        <v>635</v>
      </c>
      <c r="E20" s="31">
        <v>49</v>
      </c>
      <c r="F20" s="31" t="s">
        <v>69</v>
      </c>
      <c r="G20" s="31" t="s">
        <v>636</v>
      </c>
      <c r="H20" s="31">
        <v>0</v>
      </c>
      <c r="I20" s="31" t="s">
        <v>589</v>
      </c>
      <c r="J20" s="31" t="s">
        <v>637</v>
      </c>
      <c r="K20" s="29"/>
      <c r="L20" s="29"/>
    </row>
    <row r="21" spans="1:12" ht="14.25" customHeight="1" x14ac:dyDescent="0.3">
      <c r="A21" s="35">
        <v>46185</v>
      </c>
      <c r="B21" s="36" t="s">
        <v>591</v>
      </c>
      <c r="C21" s="31" t="s">
        <v>638</v>
      </c>
      <c r="D21" s="36" t="s">
        <v>639</v>
      </c>
      <c r="E21" s="29"/>
      <c r="F21" s="31" t="s">
        <v>69</v>
      </c>
      <c r="G21" s="29"/>
      <c r="H21" s="29"/>
      <c r="I21" s="29"/>
      <c r="J21" s="29"/>
      <c r="K21" s="29"/>
      <c r="L21" s="29"/>
    </row>
    <row r="22" spans="1:12" ht="14.25" customHeight="1" x14ac:dyDescent="0.3">
      <c r="A22" s="35">
        <v>46185</v>
      </c>
      <c r="B22" s="31" t="s">
        <v>640</v>
      </c>
      <c r="C22" s="31" t="s">
        <v>641</v>
      </c>
      <c r="D22" s="31" t="s">
        <v>642</v>
      </c>
      <c r="E22" s="31" t="s">
        <v>643</v>
      </c>
      <c r="F22" s="31" t="s">
        <v>644</v>
      </c>
      <c r="G22" s="31" t="s">
        <v>589</v>
      </c>
      <c r="H22" s="31" t="s">
        <v>589</v>
      </c>
      <c r="I22" s="31" t="s">
        <v>589</v>
      </c>
      <c r="J22" s="31" t="s">
        <v>645</v>
      </c>
      <c r="K22" s="29"/>
      <c r="L22" s="29"/>
    </row>
    <row r="23" spans="1:12" ht="14.25" customHeight="1" x14ac:dyDescent="0.3">
      <c r="A23" s="35">
        <v>46185</v>
      </c>
      <c r="B23" s="31" t="s">
        <v>607</v>
      </c>
      <c r="C23" s="31" t="s">
        <v>614</v>
      </c>
      <c r="D23" s="31" t="s">
        <v>646</v>
      </c>
      <c r="E23" s="31">
        <v>40</v>
      </c>
      <c r="F23" s="29"/>
      <c r="G23" s="31" t="s">
        <v>589</v>
      </c>
      <c r="H23" s="31" t="s">
        <v>589</v>
      </c>
      <c r="I23" s="31" t="s">
        <v>589</v>
      </c>
      <c r="J23" s="31" t="s">
        <v>633</v>
      </c>
      <c r="K23" s="29"/>
      <c r="L23" s="29"/>
    </row>
    <row r="24" spans="1:12" ht="14.25" customHeight="1" x14ac:dyDescent="0.3">
      <c r="A24" s="35">
        <v>46185</v>
      </c>
      <c r="B24" s="31" t="s">
        <v>603</v>
      </c>
      <c r="C24" s="31" t="s">
        <v>604</v>
      </c>
      <c r="D24" s="31" t="s">
        <v>623</v>
      </c>
      <c r="E24" s="31">
        <v>10</v>
      </c>
      <c r="F24" s="31" t="s">
        <v>69</v>
      </c>
      <c r="G24" s="31" t="s">
        <v>589</v>
      </c>
      <c r="H24" s="31" t="s">
        <v>589</v>
      </c>
      <c r="I24" s="31" t="s">
        <v>589</v>
      </c>
      <c r="J24" s="31" t="s">
        <v>647</v>
      </c>
      <c r="K24" s="29"/>
      <c r="L24" s="29"/>
    </row>
    <row r="25" spans="1:12" ht="14.25" customHeight="1" x14ac:dyDescent="0.3">
      <c r="A25" s="35">
        <v>46185</v>
      </c>
      <c r="B25" s="31" t="s">
        <v>599</v>
      </c>
      <c r="C25" s="31" t="s">
        <v>648</v>
      </c>
      <c r="D25" s="31" t="s">
        <v>649</v>
      </c>
      <c r="E25" s="37">
        <v>46315</v>
      </c>
      <c r="F25" s="31" t="s">
        <v>69</v>
      </c>
      <c r="G25" s="31" t="s">
        <v>589</v>
      </c>
      <c r="H25" s="29"/>
      <c r="I25" s="31" t="s">
        <v>589</v>
      </c>
      <c r="J25" s="29"/>
      <c r="K25" s="29"/>
      <c r="L25" s="29"/>
    </row>
    <row r="26" spans="1:12" ht="14.25" customHeight="1" x14ac:dyDescent="0.3">
      <c r="A26" s="35">
        <v>46186</v>
      </c>
      <c r="B26" s="31" t="s">
        <v>599</v>
      </c>
      <c r="C26" s="31" t="s">
        <v>650</v>
      </c>
      <c r="D26" s="31" t="s">
        <v>651</v>
      </c>
      <c r="E26" s="29"/>
      <c r="F26" s="31" t="s">
        <v>69</v>
      </c>
      <c r="G26" s="31" t="s">
        <v>589</v>
      </c>
      <c r="H26" s="29"/>
      <c r="I26" s="31" t="s">
        <v>589</v>
      </c>
      <c r="J26" s="29"/>
      <c r="K26" s="29"/>
      <c r="L26" s="29"/>
    </row>
    <row r="27" spans="1:12" ht="14.25" customHeight="1" x14ac:dyDescent="0.3">
      <c r="A27" s="35">
        <v>46186</v>
      </c>
      <c r="B27" s="31" t="s">
        <v>585</v>
      </c>
      <c r="C27" s="31" t="s">
        <v>652</v>
      </c>
      <c r="D27" s="31" t="s">
        <v>653</v>
      </c>
      <c r="E27" s="31" t="s">
        <v>654</v>
      </c>
      <c r="F27" s="31" t="s">
        <v>69</v>
      </c>
      <c r="G27" s="31" t="s">
        <v>589</v>
      </c>
      <c r="H27" s="31"/>
      <c r="I27" s="31" t="s">
        <v>589</v>
      </c>
      <c r="J27" s="31" t="s">
        <v>655</v>
      </c>
      <c r="K27" s="29"/>
      <c r="L27" s="29"/>
    </row>
    <row r="28" spans="1:12" ht="14.25" customHeight="1" x14ac:dyDescent="0.3">
      <c r="A28" s="35">
        <v>46186</v>
      </c>
      <c r="B28" s="31" t="s">
        <v>595</v>
      </c>
      <c r="C28" s="31" t="s">
        <v>656</v>
      </c>
      <c r="D28" s="31" t="s">
        <v>657</v>
      </c>
      <c r="E28" s="31">
        <v>48</v>
      </c>
      <c r="F28" s="31" t="s">
        <v>68</v>
      </c>
      <c r="G28" s="31" t="s">
        <v>658</v>
      </c>
      <c r="H28" s="31">
        <v>0</v>
      </c>
      <c r="I28" s="31" t="s">
        <v>589</v>
      </c>
      <c r="J28" s="31" t="s">
        <v>659</v>
      </c>
      <c r="K28" s="29"/>
      <c r="L28" s="29"/>
    </row>
    <row r="29" spans="1:12" ht="14.25" customHeight="1" x14ac:dyDescent="0.3">
      <c r="A29" s="35">
        <v>46186</v>
      </c>
      <c r="B29" s="31" t="s">
        <v>607</v>
      </c>
      <c r="C29" s="31" t="s">
        <v>614</v>
      </c>
      <c r="D29" s="31" t="s">
        <v>660</v>
      </c>
      <c r="E29" s="31">
        <v>40</v>
      </c>
      <c r="F29" s="31" t="s">
        <v>661</v>
      </c>
      <c r="G29" s="31" t="s">
        <v>589</v>
      </c>
      <c r="H29" s="29"/>
      <c r="I29" s="31" t="s">
        <v>589</v>
      </c>
      <c r="J29" s="31" t="s">
        <v>662</v>
      </c>
      <c r="K29" s="29"/>
      <c r="L29" s="29"/>
    </row>
    <row r="30" spans="1:12" ht="14.25" customHeight="1" x14ac:dyDescent="0.3">
      <c r="A30" s="35">
        <v>46188</v>
      </c>
      <c r="B30" s="31" t="s">
        <v>595</v>
      </c>
      <c r="C30" s="31" t="s">
        <v>663</v>
      </c>
      <c r="D30" s="31" t="s">
        <v>664</v>
      </c>
      <c r="E30" s="31" t="s">
        <v>588</v>
      </c>
      <c r="F30" s="31" t="s">
        <v>69</v>
      </c>
      <c r="G30" s="31" t="s">
        <v>665</v>
      </c>
      <c r="H30" s="31">
        <v>0</v>
      </c>
      <c r="I30" s="31" t="s">
        <v>589</v>
      </c>
      <c r="J30" s="31" t="s">
        <v>666</v>
      </c>
      <c r="K30" s="29"/>
      <c r="L30" s="29"/>
    </row>
    <row r="31" spans="1:12" ht="14.25" customHeight="1" x14ac:dyDescent="0.3">
      <c r="A31" s="35">
        <v>46188</v>
      </c>
      <c r="B31" s="31" t="s">
        <v>607</v>
      </c>
      <c r="C31" s="31" t="s">
        <v>614</v>
      </c>
      <c r="D31" s="31" t="s">
        <v>667</v>
      </c>
      <c r="E31" s="31">
        <v>43</v>
      </c>
      <c r="F31" s="29"/>
      <c r="G31" s="31" t="s">
        <v>589</v>
      </c>
      <c r="H31" s="29"/>
      <c r="I31" s="31" t="s">
        <v>589</v>
      </c>
      <c r="J31" s="31" t="s">
        <v>662</v>
      </c>
      <c r="K31" s="29"/>
      <c r="L31" s="29"/>
    </row>
    <row r="32" spans="1:12" ht="14.25" customHeight="1" x14ac:dyDescent="0.3">
      <c r="A32" s="35">
        <v>46188</v>
      </c>
      <c r="B32" s="31" t="s">
        <v>585</v>
      </c>
      <c r="C32" s="31" t="s">
        <v>668</v>
      </c>
      <c r="D32" s="31" t="s">
        <v>669</v>
      </c>
      <c r="E32" s="31" t="s">
        <v>654</v>
      </c>
      <c r="F32" s="31" t="s">
        <v>69</v>
      </c>
      <c r="G32" s="31" t="s">
        <v>589</v>
      </c>
      <c r="H32" s="29"/>
      <c r="I32" s="29"/>
      <c r="J32" s="29"/>
      <c r="K32" s="29"/>
      <c r="L32" s="29"/>
    </row>
    <row r="33" spans="1:12" ht="14.25" customHeight="1" x14ac:dyDescent="0.3">
      <c r="A33" s="35">
        <v>46188</v>
      </c>
      <c r="B33" s="31" t="s">
        <v>599</v>
      </c>
      <c r="C33" s="31" t="s">
        <v>670</v>
      </c>
      <c r="D33" s="31" t="s">
        <v>671</v>
      </c>
      <c r="E33" s="31" t="s">
        <v>588</v>
      </c>
      <c r="F33" s="31" t="s">
        <v>69</v>
      </c>
      <c r="G33" s="31" t="s">
        <v>589</v>
      </c>
      <c r="H33" s="29"/>
      <c r="I33" s="31" t="s">
        <v>589</v>
      </c>
      <c r="J33" s="29"/>
      <c r="K33" s="29"/>
      <c r="L33" s="29"/>
    </row>
    <row r="34" spans="1:12" ht="14.25" customHeight="1" x14ac:dyDescent="0.3">
      <c r="A34" s="35">
        <v>46188</v>
      </c>
      <c r="B34" s="31" t="s">
        <v>603</v>
      </c>
      <c r="C34" s="31" t="s">
        <v>604</v>
      </c>
      <c r="D34" s="31" t="s">
        <v>672</v>
      </c>
      <c r="E34" s="31" t="s">
        <v>588</v>
      </c>
      <c r="F34" s="31" t="s">
        <v>69</v>
      </c>
      <c r="G34" s="31" t="s">
        <v>589</v>
      </c>
      <c r="H34" s="31" t="s">
        <v>589</v>
      </c>
      <c r="I34" s="31" t="s">
        <v>589</v>
      </c>
      <c r="J34" s="31" t="s">
        <v>673</v>
      </c>
      <c r="K34" s="29"/>
      <c r="L34" s="29"/>
    </row>
    <row r="35" spans="1:12" ht="14.25" customHeight="1" x14ac:dyDescent="0.3">
      <c r="A35" s="35">
        <v>46189</v>
      </c>
      <c r="B35" s="31" t="s">
        <v>595</v>
      </c>
      <c r="C35" s="31" t="s">
        <v>674</v>
      </c>
      <c r="D35" s="31" t="s">
        <v>675</v>
      </c>
      <c r="E35" s="31" t="s">
        <v>588</v>
      </c>
      <c r="F35" s="31" t="s">
        <v>69</v>
      </c>
      <c r="G35" s="31" t="s">
        <v>589</v>
      </c>
      <c r="H35" s="31">
        <v>0</v>
      </c>
      <c r="I35" s="31" t="s">
        <v>589</v>
      </c>
      <c r="J35" s="31" t="s">
        <v>676</v>
      </c>
      <c r="K35" s="29"/>
      <c r="L35" s="29"/>
    </row>
    <row r="36" spans="1:12" ht="14.25" customHeight="1" x14ac:dyDescent="0.3">
      <c r="A36" s="35">
        <v>46189</v>
      </c>
      <c r="B36" s="31" t="s">
        <v>585</v>
      </c>
      <c r="C36" s="31" t="s">
        <v>668</v>
      </c>
      <c r="D36" s="31" t="s">
        <v>669</v>
      </c>
      <c r="E36" s="31" t="s">
        <v>654</v>
      </c>
      <c r="F36" s="31" t="s">
        <v>69</v>
      </c>
      <c r="G36" s="31" t="s">
        <v>589</v>
      </c>
      <c r="H36" s="29"/>
      <c r="I36" s="29"/>
      <c r="J36" s="29"/>
      <c r="K36" s="29"/>
      <c r="L36" s="29"/>
    </row>
    <row r="37" spans="1:12" ht="14.25" customHeight="1" x14ac:dyDescent="0.3">
      <c r="A37" s="35">
        <v>46189</v>
      </c>
      <c r="B37" s="36" t="s">
        <v>591</v>
      </c>
      <c r="C37" s="31" t="s">
        <v>677</v>
      </c>
      <c r="D37" s="31" t="s">
        <v>678</v>
      </c>
      <c r="E37" s="29"/>
      <c r="F37" s="31" t="s">
        <v>69</v>
      </c>
      <c r="G37" s="31" t="s">
        <v>589</v>
      </c>
      <c r="H37" s="29"/>
      <c r="I37" s="29"/>
      <c r="J37" s="29"/>
      <c r="K37" s="29"/>
      <c r="L37" s="29"/>
    </row>
    <row r="38" spans="1:12" ht="14.25" customHeight="1" x14ac:dyDescent="0.3">
      <c r="A38" s="35">
        <v>46189</v>
      </c>
      <c r="B38" s="31" t="s">
        <v>607</v>
      </c>
      <c r="C38" s="31" t="s">
        <v>679</v>
      </c>
      <c r="D38" s="31" t="s">
        <v>667</v>
      </c>
      <c r="E38" s="29"/>
      <c r="F38" s="29"/>
      <c r="G38" s="31" t="s">
        <v>589</v>
      </c>
      <c r="H38" s="29"/>
      <c r="I38" s="31" t="s">
        <v>589</v>
      </c>
      <c r="J38" s="29"/>
      <c r="K38" s="29"/>
      <c r="L38" s="29"/>
    </row>
    <row r="39" spans="1:12" ht="14.25" customHeight="1" x14ac:dyDescent="0.3">
      <c r="A39" s="35">
        <v>46189</v>
      </c>
      <c r="B39" s="31" t="s">
        <v>599</v>
      </c>
      <c r="C39" s="31" t="s">
        <v>680</v>
      </c>
      <c r="D39" s="31" t="s">
        <v>681</v>
      </c>
      <c r="E39" s="31" t="s">
        <v>588</v>
      </c>
      <c r="F39" s="31" t="s">
        <v>69</v>
      </c>
      <c r="G39" s="31" t="s">
        <v>589</v>
      </c>
      <c r="H39" s="29"/>
      <c r="I39" s="31" t="s">
        <v>589</v>
      </c>
      <c r="J39" s="29"/>
      <c r="K39" s="29"/>
      <c r="L39" s="29"/>
    </row>
    <row r="40" spans="1:12" ht="14.25" customHeight="1" x14ac:dyDescent="0.3">
      <c r="A40" s="35">
        <v>46189</v>
      </c>
      <c r="B40" s="31" t="s">
        <v>603</v>
      </c>
      <c r="C40" s="31" t="s">
        <v>604</v>
      </c>
      <c r="D40" s="31" t="s">
        <v>672</v>
      </c>
      <c r="E40" s="31" t="s">
        <v>588</v>
      </c>
      <c r="F40" s="31" t="s">
        <v>69</v>
      </c>
      <c r="G40" s="31" t="s">
        <v>589</v>
      </c>
      <c r="H40" s="31" t="s">
        <v>589</v>
      </c>
      <c r="I40" s="31" t="s">
        <v>589</v>
      </c>
      <c r="J40" s="31" t="s">
        <v>673</v>
      </c>
      <c r="K40" s="29"/>
      <c r="L40" s="29"/>
    </row>
    <row r="41" spans="1:12" ht="14.25" customHeight="1" x14ac:dyDescent="0.3">
      <c r="A41" s="35">
        <v>46190</v>
      </c>
      <c r="B41" s="31" t="s">
        <v>585</v>
      </c>
      <c r="C41" s="31" t="s">
        <v>682</v>
      </c>
      <c r="D41" s="31" t="s">
        <v>683</v>
      </c>
      <c r="E41" s="31" t="s">
        <v>588</v>
      </c>
      <c r="F41" s="31" t="s">
        <v>69</v>
      </c>
      <c r="G41" s="31" t="s">
        <v>589</v>
      </c>
      <c r="H41" s="31" t="s">
        <v>589</v>
      </c>
      <c r="I41" s="31" t="s">
        <v>589</v>
      </c>
      <c r="J41" s="31" t="s">
        <v>684</v>
      </c>
      <c r="K41" s="29"/>
      <c r="L41" s="29"/>
    </row>
    <row r="42" spans="1:12" ht="14.25" customHeight="1" x14ac:dyDescent="0.3">
      <c r="A42" s="35">
        <v>46190</v>
      </c>
      <c r="B42" s="31" t="s">
        <v>599</v>
      </c>
      <c r="C42" s="31" t="s">
        <v>685</v>
      </c>
      <c r="D42" s="31" t="s">
        <v>686</v>
      </c>
      <c r="E42" s="31" t="s">
        <v>588</v>
      </c>
      <c r="F42" s="31" t="s">
        <v>69</v>
      </c>
      <c r="G42" s="31" t="s">
        <v>589</v>
      </c>
      <c r="H42" s="29"/>
      <c r="I42" s="31" t="s">
        <v>589</v>
      </c>
      <c r="J42" s="31" t="s">
        <v>687</v>
      </c>
      <c r="K42" s="29"/>
      <c r="L42" s="29"/>
    </row>
    <row r="43" spans="1:12" ht="14.25" customHeight="1" x14ac:dyDescent="0.3">
      <c r="A43" s="38">
        <v>46190</v>
      </c>
      <c r="B43" s="39" t="s">
        <v>595</v>
      </c>
      <c r="C43" s="39" t="s">
        <v>688</v>
      </c>
      <c r="D43" s="39" t="s">
        <v>689</v>
      </c>
      <c r="E43" s="39" t="s">
        <v>690</v>
      </c>
      <c r="F43" s="39" t="s">
        <v>69</v>
      </c>
      <c r="G43" s="39" t="s">
        <v>691</v>
      </c>
      <c r="H43" s="39">
        <v>0</v>
      </c>
      <c r="I43" s="39" t="s">
        <v>589</v>
      </c>
      <c r="J43" s="39" t="s">
        <v>692</v>
      </c>
      <c r="K43" s="29"/>
      <c r="L43" s="29"/>
    </row>
    <row r="44" spans="1:12" ht="14.25" customHeight="1" x14ac:dyDescent="0.3">
      <c r="A44" s="35">
        <v>46191</v>
      </c>
      <c r="B44" s="31" t="s">
        <v>599</v>
      </c>
      <c r="C44" s="31" t="s">
        <v>693</v>
      </c>
      <c r="D44" s="31" t="s">
        <v>694</v>
      </c>
      <c r="E44" s="31" t="s">
        <v>588</v>
      </c>
      <c r="F44" s="31" t="s">
        <v>69</v>
      </c>
      <c r="G44" s="31" t="s">
        <v>589</v>
      </c>
      <c r="H44" s="29"/>
      <c r="I44" s="31" t="s">
        <v>589</v>
      </c>
      <c r="J44" s="29"/>
      <c r="K44" s="29"/>
      <c r="L44" s="29"/>
    </row>
    <row r="45" spans="1:12" ht="14.25" customHeight="1" x14ac:dyDescent="0.3">
      <c r="A45" s="40"/>
      <c r="B45" s="29"/>
      <c r="C45" s="29"/>
      <c r="D45" s="29"/>
      <c r="E45" s="29"/>
      <c r="F45" s="29"/>
      <c r="G45" s="29"/>
      <c r="H45" s="29"/>
      <c r="I45" s="29"/>
      <c r="J45" s="29"/>
      <c r="K45" s="29"/>
      <c r="L45" s="29"/>
    </row>
    <row r="46" spans="1:12" ht="14.25" customHeight="1" x14ac:dyDescent="0.3">
      <c r="A46" s="40"/>
      <c r="B46" s="29"/>
      <c r="C46" s="29"/>
      <c r="D46" s="29"/>
      <c r="E46" s="29"/>
      <c r="F46" s="29"/>
      <c r="G46" s="29"/>
      <c r="H46" s="29"/>
      <c r="I46" s="29"/>
      <c r="J46" s="29"/>
      <c r="K46" s="29"/>
      <c r="L46" s="29"/>
    </row>
    <row r="47" spans="1:12" ht="14.25" customHeight="1" x14ac:dyDescent="0.3">
      <c r="A47" s="40"/>
      <c r="B47" s="29"/>
      <c r="C47" s="29"/>
      <c r="D47" s="29"/>
      <c r="E47" s="29"/>
      <c r="F47" s="29"/>
      <c r="G47" s="29"/>
      <c r="H47" s="29"/>
      <c r="I47" s="29"/>
      <c r="J47" s="29"/>
      <c r="K47" s="29"/>
      <c r="L47" s="29"/>
    </row>
    <row r="48" spans="1:12" ht="14.25" customHeight="1" x14ac:dyDescent="0.3">
      <c r="A48" s="40"/>
      <c r="B48" s="29"/>
      <c r="C48" s="29"/>
      <c r="D48" s="29"/>
      <c r="E48" s="29"/>
      <c r="F48" s="29"/>
      <c r="G48" s="29"/>
      <c r="H48" s="29"/>
      <c r="I48" s="29"/>
      <c r="J48" s="29"/>
      <c r="K48" s="29"/>
      <c r="L48" s="29"/>
    </row>
    <row r="49" spans="1:12" ht="14.25" customHeight="1" x14ac:dyDescent="0.3">
      <c r="A49" s="40"/>
      <c r="B49" s="29"/>
      <c r="C49" s="29"/>
      <c r="D49" s="29"/>
      <c r="E49" s="29"/>
      <c r="F49" s="29"/>
      <c r="G49" s="29"/>
      <c r="H49" s="29"/>
      <c r="I49" s="29"/>
      <c r="J49" s="29"/>
      <c r="K49" s="29"/>
      <c r="L49" s="29"/>
    </row>
    <row r="50" spans="1:12" ht="14.25" customHeight="1" x14ac:dyDescent="0.3">
      <c r="A50" s="40"/>
      <c r="B50" s="29"/>
      <c r="C50" s="29"/>
      <c r="D50" s="29"/>
      <c r="E50" s="29"/>
      <c r="F50" s="29"/>
      <c r="G50" s="29"/>
      <c r="H50" s="29"/>
      <c r="I50" s="29"/>
      <c r="J50" s="29"/>
      <c r="K50" s="29"/>
      <c r="L50" s="29"/>
    </row>
    <row r="51" spans="1:12" ht="14.25" customHeight="1" x14ac:dyDescent="0.3">
      <c r="A51" s="40"/>
      <c r="B51" s="29"/>
      <c r="C51" s="29"/>
      <c r="D51" s="29"/>
      <c r="E51" s="29"/>
      <c r="F51" s="29"/>
      <c r="G51" s="29"/>
      <c r="H51" s="29"/>
      <c r="I51" s="29"/>
      <c r="J51" s="29"/>
      <c r="K51" s="29"/>
      <c r="L51" s="29"/>
    </row>
    <row r="52" spans="1:12" ht="14.25" customHeight="1" x14ac:dyDescent="0.3">
      <c r="A52" s="40"/>
      <c r="B52" s="29"/>
      <c r="C52" s="29"/>
      <c r="D52" s="29"/>
      <c r="E52" s="29"/>
      <c r="F52" s="29"/>
      <c r="G52" s="29"/>
      <c r="H52" s="29"/>
      <c r="I52" s="29"/>
      <c r="J52" s="29"/>
      <c r="K52" s="29"/>
      <c r="L52" s="29"/>
    </row>
    <row r="53" spans="1:12" ht="14.25" customHeight="1" x14ac:dyDescent="0.3">
      <c r="A53" s="40"/>
      <c r="B53" s="29"/>
      <c r="C53" s="29"/>
      <c r="D53" s="29"/>
      <c r="E53" s="29"/>
      <c r="F53" s="29"/>
      <c r="G53" s="29"/>
      <c r="H53" s="29"/>
      <c r="I53" s="29"/>
      <c r="J53" s="29"/>
      <c r="K53" s="29"/>
      <c r="L53" s="29"/>
    </row>
    <row r="54" spans="1:12" ht="14.25" customHeight="1" x14ac:dyDescent="0.3">
      <c r="A54" s="40"/>
      <c r="B54" s="29"/>
      <c r="C54" s="29"/>
      <c r="D54" s="29"/>
      <c r="E54" s="29"/>
      <c r="F54" s="29"/>
      <c r="G54" s="29"/>
      <c r="H54" s="29"/>
      <c r="I54" s="29"/>
      <c r="J54" s="29"/>
      <c r="K54" s="29"/>
      <c r="L54" s="29"/>
    </row>
    <row r="55" spans="1:12" ht="14.25" customHeight="1" x14ac:dyDescent="0.3">
      <c r="A55" s="40"/>
      <c r="B55" s="29"/>
      <c r="C55" s="29"/>
      <c r="D55" s="29"/>
      <c r="E55" s="29"/>
      <c r="F55" s="29"/>
      <c r="G55" s="29"/>
      <c r="H55" s="29"/>
      <c r="I55" s="29"/>
      <c r="J55" s="29"/>
      <c r="K55" s="29"/>
      <c r="L55" s="29"/>
    </row>
    <row r="56" spans="1:12" ht="14.25" customHeight="1" x14ac:dyDescent="0.3">
      <c r="A56" s="40"/>
      <c r="B56" s="29"/>
      <c r="C56" s="29"/>
      <c r="D56" s="29"/>
      <c r="E56" s="29"/>
      <c r="F56" s="29"/>
      <c r="G56" s="29"/>
      <c r="H56" s="29"/>
      <c r="I56" s="29"/>
      <c r="J56" s="29"/>
      <c r="K56" s="29"/>
      <c r="L56" s="29"/>
    </row>
    <row r="57" spans="1:12" ht="14.25" customHeight="1" x14ac:dyDescent="0.3">
      <c r="A57" s="40"/>
      <c r="B57" s="29"/>
      <c r="C57" s="29"/>
      <c r="D57" s="29"/>
      <c r="E57" s="29"/>
      <c r="F57" s="29"/>
      <c r="G57" s="29"/>
      <c r="H57" s="29"/>
      <c r="I57" s="29"/>
      <c r="J57" s="29"/>
      <c r="K57" s="29"/>
      <c r="L57" s="29"/>
    </row>
    <row r="58" spans="1:12" ht="14.25" customHeight="1" x14ac:dyDescent="0.3">
      <c r="A58" s="40"/>
      <c r="B58" s="29"/>
      <c r="C58" s="29"/>
      <c r="D58" s="29"/>
      <c r="E58" s="29"/>
      <c r="F58" s="29"/>
      <c r="G58" s="29"/>
      <c r="H58" s="29"/>
      <c r="I58" s="29"/>
      <c r="J58" s="29"/>
      <c r="K58" s="29"/>
      <c r="L58" s="29"/>
    </row>
    <row r="59" spans="1:12" ht="14.25" customHeight="1" x14ac:dyDescent="0.3">
      <c r="A59" s="40"/>
      <c r="B59" s="29"/>
      <c r="C59" s="29"/>
      <c r="D59" s="29"/>
      <c r="E59" s="29"/>
      <c r="F59" s="29"/>
      <c r="G59" s="29"/>
      <c r="H59" s="29"/>
      <c r="I59" s="29"/>
      <c r="J59" s="29"/>
      <c r="K59" s="29"/>
      <c r="L59" s="29"/>
    </row>
    <row r="60" spans="1:12" ht="14.25" customHeight="1" x14ac:dyDescent="0.3">
      <c r="A60" s="40"/>
      <c r="B60" s="29"/>
      <c r="C60" s="29"/>
      <c r="D60" s="29"/>
      <c r="E60" s="29"/>
      <c r="F60" s="29"/>
      <c r="G60" s="29"/>
      <c r="H60" s="29"/>
      <c r="I60" s="29"/>
      <c r="J60" s="29"/>
      <c r="K60" s="29"/>
      <c r="L60" s="29"/>
    </row>
    <row r="61" spans="1:12" ht="14.25" customHeight="1" x14ac:dyDescent="0.3">
      <c r="A61" s="40"/>
      <c r="B61" s="29"/>
      <c r="C61" s="29"/>
      <c r="D61" s="29"/>
      <c r="E61" s="29"/>
      <c r="F61" s="29"/>
      <c r="G61" s="29"/>
      <c r="H61" s="29"/>
      <c r="I61" s="29"/>
      <c r="J61" s="29"/>
      <c r="K61" s="29"/>
      <c r="L61" s="29"/>
    </row>
    <row r="62" spans="1:12" ht="14.25" customHeight="1" x14ac:dyDescent="0.3">
      <c r="A62" s="40"/>
      <c r="B62" s="29"/>
      <c r="C62" s="29"/>
      <c r="D62" s="29"/>
      <c r="E62" s="29"/>
      <c r="F62" s="29"/>
      <c r="G62" s="29"/>
      <c r="H62" s="29"/>
      <c r="I62" s="29"/>
      <c r="J62" s="29"/>
      <c r="K62" s="29"/>
      <c r="L62" s="29"/>
    </row>
    <row r="63" spans="1:12" ht="14.25" customHeight="1" x14ac:dyDescent="0.3">
      <c r="A63" s="40"/>
      <c r="B63" s="29"/>
      <c r="C63" s="29"/>
      <c r="D63" s="29"/>
      <c r="E63" s="29"/>
      <c r="F63" s="29"/>
      <c r="G63" s="29"/>
      <c r="H63" s="29"/>
      <c r="I63" s="29"/>
      <c r="J63" s="29"/>
      <c r="K63" s="29"/>
      <c r="L63" s="29"/>
    </row>
    <row r="64" spans="1:12" ht="14.25" customHeight="1" x14ac:dyDescent="0.3">
      <c r="A64" s="40"/>
      <c r="B64" s="29"/>
      <c r="C64" s="29"/>
      <c r="D64" s="29"/>
      <c r="E64" s="29"/>
      <c r="F64" s="29"/>
      <c r="G64" s="29"/>
      <c r="H64" s="29"/>
      <c r="I64" s="29"/>
      <c r="J64" s="29"/>
      <c r="K64" s="29"/>
      <c r="L64" s="29"/>
    </row>
    <row r="65" spans="1:12" ht="14.25" customHeight="1" x14ac:dyDescent="0.3">
      <c r="A65" s="40"/>
      <c r="B65" s="29"/>
      <c r="C65" s="29"/>
      <c r="D65" s="29"/>
      <c r="E65" s="29"/>
      <c r="F65" s="29"/>
      <c r="G65" s="29"/>
      <c r="H65" s="29"/>
      <c r="I65" s="29"/>
      <c r="J65" s="29"/>
      <c r="K65" s="29"/>
      <c r="L65" s="29"/>
    </row>
    <row r="66" spans="1:12" ht="14.25" customHeight="1" x14ac:dyDescent="0.3">
      <c r="A66" s="40"/>
      <c r="B66" s="29"/>
      <c r="C66" s="29"/>
      <c r="D66" s="29"/>
      <c r="E66" s="29"/>
      <c r="F66" s="29"/>
      <c r="G66" s="29"/>
      <c r="H66" s="29"/>
      <c r="I66" s="29"/>
      <c r="J66" s="29"/>
      <c r="K66" s="29"/>
      <c r="L66" s="29"/>
    </row>
    <row r="67" spans="1:12" ht="14.25" customHeight="1" x14ac:dyDescent="0.3">
      <c r="A67" s="40"/>
      <c r="B67" s="29"/>
      <c r="C67" s="29"/>
      <c r="D67" s="29"/>
      <c r="E67" s="29"/>
      <c r="F67" s="29"/>
      <c r="G67" s="29"/>
      <c r="H67" s="29"/>
      <c r="I67" s="29"/>
      <c r="J67" s="29"/>
      <c r="K67" s="29"/>
      <c r="L67" s="29"/>
    </row>
    <row r="68" spans="1:12" ht="14.25" customHeight="1" x14ac:dyDescent="0.3">
      <c r="A68" s="40"/>
      <c r="B68" s="29"/>
      <c r="C68" s="29"/>
      <c r="D68" s="29"/>
      <c r="E68" s="29"/>
      <c r="F68" s="29"/>
      <c r="G68" s="29"/>
      <c r="H68" s="29"/>
      <c r="I68" s="29"/>
      <c r="J68" s="29"/>
      <c r="K68" s="29"/>
      <c r="L68" s="29"/>
    </row>
    <row r="69" spans="1:12" ht="14.25" customHeight="1" x14ac:dyDescent="0.3">
      <c r="A69" s="40"/>
      <c r="B69" s="29"/>
      <c r="C69" s="29"/>
      <c r="D69" s="29"/>
      <c r="E69" s="29"/>
      <c r="F69" s="29"/>
      <c r="G69" s="29"/>
      <c r="H69" s="29"/>
      <c r="I69" s="29"/>
      <c r="J69" s="29"/>
      <c r="K69" s="29"/>
      <c r="L69" s="29"/>
    </row>
    <row r="70" spans="1:12" ht="14.25" customHeight="1" x14ac:dyDescent="0.3">
      <c r="A70" s="40"/>
      <c r="B70" s="29"/>
      <c r="C70" s="29"/>
      <c r="D70" s="29"/>
      <c r="E70" s="29"/>
      <c r="F70" s="29"/>
      <c r="G70" s="29"/>
      <c r="H70" s="29"/>
      <c r="I70" s="29"/>
      <c r="J70" s="29"/>
      <c r="K70" s="29"/>
      <c r="L70" s="29"/>
    </row>
    <row r="71" spans="1:12" ht="14.25" customHeight="1" x14ac:dyDescent="0.3">
      <c r="A71" s="40"/>
      <c r="B71" s="29"/>
      <c r="C71" s="29"/>
      <c r="D71" s="29"/>
      <c r="E71" s="29"/>
      <c r="F71" s="29"/>
      <c r="G71" s="29"/>
      <c r="H71" s="29"/>
      <c r="I71" s="29"/>
      <c r="J71" s="29"/>
      <c r="K71" s="29"/>
      <c r="L71" s="29"/>
    </row>
    <row r="72" spans="1:12" ht="14.25" customHeight="1" x14ac:dyDescent="0.3">
      <c r="A72" s="40"/>
      <c r="B72" s="29"/>
      <c r="C72" s="29"/>
      <c r="D72" s="29"/>
      <c r="E72" s="29"/>
      <c r="F72" s="29"/>
      <c r="G72" s="29"/>
      <c r="H72" s="29"/>
      <c r="I72" s="29"/>
      <c r="J72" s="29"/>
      <c r="K72" s="29"/>
      <c r="L72" s="29"/>
    </row>
    <row r="73" spans="1:12" ht="14.25" customHeight="1" x14ac:dyDescent="0.3">
      <c r="A73" s="40"/>
      <c r="B73" s="29"/>
      <c r="C73" s="29"/>
      <c r="D73" s="29"/>
      <c r="E73" s="29"/>
      <c r="F73" s="29"/>
      <c r="G73" s="29"/>
      <c r="H73" s="29"/>
      <c r="I73" s="29"/>
      <c r="J73" s="29"/>
      <c r="K73" s="29"/>
      <c r="L73" s="29"/>
    </row>
    <row r="74" spans="1:12" ht="14.25" customHeight="1" x14ac:dyDescent="0.3">
      <c r="A74" s="40"/>
      <c r="B74" s="29"/>
      <c r="C74" s="29"/>
      <c r="D74" s="29"/>
      <c r="E74" s="29"/>
      <c r="F74" s="29"/>
      <c r="G74" s="29"/>
      <c r="H74" s="29"/>
      <c r="I74" s="29"/>
      <c r="J74" s="29"/>
      <c r="K74" s="29"/>
      <c r="L74" s="29"/>
    </row>
    <row r="75" spans="1:12" ht="14.25" customHeight="1" x14ac:dyDescent="0.3">
      <c r="A75" s="40"/>
      <c r="B75" s="29"/>
      <c r="C75" s="29"/>
      <c r="D75" s="29"/>
      <c r="E75" s="29"/>
      <c r="F75" s="29"/>
      <c r="G75" s="29"/>
      <c r="H75" s="29"/>
      <c r="I75" s="29"/>
      <c r="J75" s="29"/>
      <c r="K75" s="29"/>
      <c r="L75" s="29"/>
    </row>
    <row r="76" spans="1:12" ht="14.25" customHeight="1" x14ac:dyDescent="0.3">
      <c r="A76" s="40"/>
      <c r="B76" s="29"/>
      <c r="C76" s="29"/>
      <c r="D76" s="29"/>
      <c r="E76" s="29"/>
      <c r="F76" s="29"/>
      <c r="G76" s="29"/>
      <c r="H76" s="29"/>
      <c r="I76" s="29"/>
      <c r="J76" s="29"/>
      <c r="K76" s="29"/>
      <c r="L76" s="29"/>
    </row>
    <row r="77" spans="1:12" ht="14.25" customHeight="1" x14ac:dyDescent="0.3">
      <c r="A77" s="40"/>
      <c r="B77" s="29"/>
      <c r="C77" s="29"/>
      <c r="D77" s="29"/>
      <c r="E77" s="29"/>
      <c r="F77" s="29"/>
      <c r="G77" s="29"/>
      <c r="H77" s="29"/>
      <c r="I77" s="29"/>
      <c r="J77" s="29"/>
      <c r="K77" s="29"/>
      <c r="L77" s="29"/>
    </row>
    <row r="78" spans="1:12" ht="14.25" customHeight="1" x14ac:dyDescent="0.3">
      <c r="A78" s="40"/>
      <c r="B78" s="29"/>
      <c r="C78" s="29"/>
      <c r="D78" s="29"/>
      <c r="E78" s="29"/>
      <c r="F78" s="29"/>
      <c r="G78" s="29"/>
      <c r="H78" s="29"/>
      <c r="I78" s="29"/>
      <c r="J78" s="29"/>
      <c r="K78" s="29"/>
      <c r="L78" s="29"/>
    </row>
    <row r="79" spans="1:12" ht="14.25" customHeight="1" x14ac:dyDescent="0.3">
      <c r="A79" s="40"/>
      <c r="B79" s="29"/>
      <c r="C79" s="29"/>
      <c r="D79" s="29"/>
      <c r="E79" s="29"/>
      <c r="F79" s="29"/>
      <c r="G79" s="29"/>
      <c r="H79" s="29"/>
      <c r="I79" s="29"/>
      <c r="J79" s="29"/>
      <c r="K79" s="29"/>
      <c r="L79" s="29"/>
    </row>
    <row r="80" spans="1:12" ht="14.25" customHeight="1" x14ac:dyDescent="0.3">
      <c r="A80" s="40"/>
      <c r="B80" s="29"/>
      <c r="C80" s="29"/>
      <c r="D80" s="29"/>
      <c r="E80" s="29"/>
      <c r="F80" s="29"/>
      <c r="G80" s="29"/>
      <c r="H80" s="29"/>
      <c r="I80" s="29"/>
      <c r="J80" s="29"/>
      <c r="K80" s="29"/>
      <c r="L80" s="29"/>
    </row>
    <row r="81" spans="1:12" ht="14.25" customHeight="1" x14ac:dyDescent="0.3">
      <c r="A81" s="40"/>
      <c r="B81" s="29"/>
      <c r="C81" s="29"/>
      <c r="D81" s="29"/>
      <c r="E81" s="29"/>
      <c r="F81" s="29"/>
      <c r="G81" s="29"/>
      <c r="H81" s="29"/>
      <c r="I81" s="29"/>
      <c r="J81" s="29"/>
      <c r="K81" s="29"/>
      <c r="L81" s="29"/>
    </row>
    <row r="82" spans="1:12" ht="14.25" customHeight="1" x14ac:dyDescent="0.3">
      <c r="A82" s="40"/>
      <c r="B82" s="29"/>
      <c r="C82" s="29"/>
      <c r="D82" s="29"/>
      <c r="E82" s="29"/>
      <c r="F82" s="29"/>
      <c r="G82" s="29"/>
      <c r="H82" s="29"/>
      <c r="I82" s="29"/>
      <c r="J82" s="29"/>
      <c r="K82" s="29"/>
      <c r="L82" s="29"/>
    </row>
    <row r="83" spans="1:12" ht="14.25" customHeight="1" x14ac:dyDescent="0.3">
      <c r="A83" s="40"/>
      <c r="B83" s="29"/>
      <c r="C83" s="29"/>
      <c r="D83" s="29"/>
      <c r="E83" s="29"/>
      <c r="F83" s="29"/>
      <c r="G83" s="29"/>
      <c r="H83" s="29"/>
      <c r="I83" s="29"/>
      <c r="J83" s="29"/>
      <c r="K83" s="29"/>
      <c r="L83" s="29"/>
    </row>
    <row r="84" spans="1:12" ht="14.25" customHeight="1" x14ac:dyDescent="0.3">
      <c r="A84" s="40"/>
      <c r="B84" s="29"/>
      <c r="C84" s="29"/>
      <c r="D84" s="29"/>
      <c r="E84" s="29"/>
      <c r="F84" s="29"/>
      <c r="G84" s="29"/>
      <c r="H84" s="29"/>
      <c r="I84" s="29"/>
      <c r="J84" s="29"/>
      <c r="K84" s="29"/>
      <c r="L84" s="29"/>
    </row>
    <row r="85" spans="1:12" ht="14.25" customHeight="1" x14ac:dyDescent="0.3">
      <c r="A85" s="40"/>
      <c r="B85" s="29"/>
      <c r="C85" s="29"/>
      <c r="D85" s="29"/>
      <c r="E85" s="29"/>
      <c r="F85" s="29"/>
      <c r="G85" s="29"/>
      <c r="H85" s="29"/>
      <c r="I85" s="29"/>
      <c r="J85" s="29"/>
      <c r="K85" s="29"/>
      <c r="L85" s="29"/>
    </row>
    <row r="86" spans="1:12" ht="14.25" customHeight="1" x14ac:dyDescent="0.3">
      <c r="A86" s="40"/>
      <c r="B86" s="29"/>
      <c r="C86" s="29"/>
      <c r="D86" s="29"/>
      <c r="E86" s="29"/>
      <c r="F86" s="29"/>
      <c r="G86" s="29"/>
      <c r="H86" s="29"/>
      <c r="I86" s="29"/>
      <c r="J86" s="29"/>
      <c r="K86" s="29"/>
      <c r="L86" s="29"/>
    </row>
    <row r="87" spans="1:12" ht="14.25" customHeight="1" x14ac:dyDescent="0.3">
      <c r="A87" s="40"/>
      <c r="B87" s="29"/>
      <c r="C87" s="29"/>
      <c r="D87" s="29"/>
      <c r="E87" s="29"/>
      <c r="F87" s="29"/>
      <c r="G87" s="29"/>
      <c r="H87" s="29"/>
      <c r="I87" s="29"/>
      <c r="J87" s="29"/>
      <c r="K87" s="29"/>
      <c r="L87" s="29"/>
    </row>
    <row r="88" spans="1:12" ht="14.25" customHeight="1" x14ac:dyDescent="0.3">
      <c r="A88" s="40"/>
      <c r="B88" s="29"/>
      <c r="C88" s="29"/>
      <c r="D88" s="29"/>
      <c r="E88" s="29"/>
      <c r="F88" s="29"/>
      <c r="G88" s="29"/>
      <c r="H88" s="29"/>
      <c r="I88" s="29"/>
      <c r="J88" s="29"/>
      <c r="K88" s="29"/>
      <c r="L88" s="29"/>
    </row>
    <row r="89" spans="1:12" ht="14.25" customHeight="1" x14ac:dyDescent="0.3">
      <c r="A89" s="40"/>
      <c r="B89" s="29"/>
      <c r="C89" s="29"/>
      <c r="D89" s="29"/>
      <c r="E89" s="29"/>
      <c r="F89" s="29"/>
      <c r="G89" s="29"/>
      <c r="H89" s="29"/>
      <c r="I89" s="29"/>
      <c r="J89" s="29"/>
      <c r="K89" s="29"/>
      <c r="L89" s="29"/>
    </row>
    <row r="90" spans="1:12" ht="14.25" customHeight="1" x14ac:dyDescent="0.3">
      <c r="A90" s="40"/>
      <c r="B90" s="29"/>
      <c r="C90" s="29"/>
      <c r="D90" s="29"/>
      <c r="E90" s="29"/>
      <c r="F90" s="29"/>
      <c r="G90" s="29"/>
      <c r="H90" s="29"/>
      <c r="I90" s="29"/>
      <c r="J90" s="29"/>
      <c r="K90" s="29"/>
      <c r="L90" s="29"/>
    </row>
    <row r="91" spans="1:12" ht="14.25" customHeight="1" x14ac:dyDescent="0.3">
      <c r="A91" s="40"/>
      <c r="B91" s="29"/>
      <c r="C91" s="29"/>
      <c r="D91" s="29"/>
      <c r="E91" s="29"/>
      <c r="F91" s="29"/>
      <c r="G91" s="29"/>
      <c r="H91" s="29"/>
      <c r="I91" s="29"/>
      <c r="J91" s="29"/>
      <c r="K91" s="29"/>
      <c r="L91" s="29"/>
    </row>
    <row r="92" spans="1:12" ht="14.25" customHeight="1" x14ac:dyDescent="0.3">
      <c r="A92" s="40"/>
      <c r="B92" s="29"/>
      <c r="C92" s="29"/>
      <c r="D92" s="29"/>
      <c r="E92" s="29"/>
      <c r="F92" s="29"/>
      <c r="G92" s="29"/>
      <c r="H92" s="29"/>
      <c r="I92" s="29"/>
      <c r="J92" s="29"/>
      <c r="K92" s="29"/>
      <c r="L92" s="29"/>
    </row>
    <row r="93" spans="1:12" ht="14.25" customHeight="1" x14ac:dyDescent="0.3">
      <c r="A93" s="40"/>
      <c r="B93" s="29"/>
      <c r="C93" s="29"/>
      <c r="D93" s="29"/>
      <c r="E93" s="29"/>
      <c r="F93" s="29"/>
      <c r="G93" s="29"/>
      <c r="H93" s="29"/>
      <c r="I93" s="29"/>
      <c r="J93" s="29"/>
      <c r="K93" s="29"/>
      <c r="L93" s="29"/>
    </row>
    <row r="94" spans="1:12" ht="14.25" customHeight="1" x14ac:dyDescent="0.3">
      <c r="A94" s="40"/>
      <c r="B94" s="29"/>
      <c r="C94" s="29"/>
      <c r="D94" s="29"/>
      <c r="E94" s="29"/>
      <c r="F94" s="29"/>
      <c r="G94" s="29"/>
      <c r="H94" s="29"/>
      <c r="I94" s="29"/>
      <c r="J94" s="29"/>
      <c r="K94" s="29"/>
      <c r="L94" s="29"/>
    </row>
    <row r="95" spans="1:12" ht="14.25" customHeight="1" x14ac:dyDescent="0.3">
      <c r="A95" s="40"/>
      <c r="B95" s="29"/>
      <c r="C95" s="29"/>
      <c r="D95" s="29"/>
      <c r="E95" s="29"/>
      <c r="F95" s="29"/>
      <c r="G95" s="29"/>
      <c r="H95" s="29"/>
      <c r="I95" s="29"/>
      <c r="J95" s="29"/>
      <c r="K95" s="29"/>
      <c r="L95" s="29"/>
    </row>
    <row r="96" spans="1:12" ht="14.25" customHeight="1" x14ac:dyDescent="0.3">
      <c r="A96" s="40"/>
      <c r="B96" s="29"/>
      <c r="C96" s="29"/>
      <c r="D96" s="29"/>
      <c r="E96" s="29"/>
      <c r="F96" s="29"/>
      <c r="G96" s="29"/>
      <c r="H96" s="29"/>
      <c r="I96" s="29"/>
      <c r="J96" s="29"/>
      <c r="K96" s="29"/>
      <c r="L96" s="29"/>
    </row>
    <row r="97" spans="1:12" ht="14.25" customHeight="1" x14ac:dyDescent="0.3">
      <c r="A97" s="40"/>
      <c r="B97" s="29"/>
      <c r="C97" s="29"/>
      <c r="D97" s="29"/>
      <c r="E97" s="29"/>
      <c r="F97" s="29"/>
      <c r="G97" s="29"/>
      <c r="H97" s="29"/>
      <c r="I97" s="29"/>
      <c r="J97" s="29"/>
      <c r="K97" s="29"/>
      <c r="L97" s="29"/>
    </row>
    <row r="98" spans="1:12" ht="14.25" customHeight="1" x14ac:dyDescent="0.3">
      <c r="A98" s="40"/>
      <c r="B98" s="29"/>
      <c r="C98" s="29"/>
      <c r="D98" s="29"/>
      <c r="E98" s="29"/>
      <c r="F98" s="29"/>
      <c r="G98" s="29"/>
      <c r="H98" s="29"/>
      <c r="I98" s="29"/>
      <c r="J98" s="29"/>
      <c r="K98" s="29"/>
      <c r="L98" s="29"/>
    </row>
    <row r="99" spans="1:12" ht="14.25" customHeight="1" x14ac:dyDescent="0.3">
      <c r="A99" s="40"/>
      <c r="B99" s="29"/>
      <c r="C99" s="29"/>
      <c r="D99" s="29"/>
      <c r="E99" s="29"/>
      <c r="F99" s="29"/>
      <c r="G99" s="29"/>
      <c r="H99" s="29"/>
      <c r="I99" s="29"/>
      <c r="J99" s="29"/>
      <c r="K99" s="29"/>
      <c r="L99" s="29"/>
    </row>
    <row r="100" spans="1:12" ht="14.25" customHeight="1" x14ac:dyDescent="0.3">
      <c r="A100" s="40"/>
      <c r="B100" s="29"/>
      <c r="C100" s="29"/>
      <c r="D100" s="29"/>
      <c r="E100" s="29"/>
      <c r="F100" s="29"/>
      <c r="G100" s="29"/>
      <c r="H100" s="29"/>
      <c r="I100" s="29"/>
      <c r="J100" s="29"/>
      <c r="K100" s="29"/>
      <c r="L100" s="29"/>
    </row>
    <row r="101" spans="1:12" ht="14.25" customHeight="1" x14ac:dyDescent="0.3">
      <c r="A101" s="40"/>
      <c r="B101" s="29"/>
      <c r="C101" s="29"/>
      <c r="D101" s="29"/>
      <c r="E101" s="29"/>
      <c r="F101" s="29"/>
      <c r="G101" s="29"/>
      <c r="H101" s="29"/>
      <c r="I101" s="29"/>
      <c r="J101" s="29"/>
      <c r="K101" s="29"/>
      <c r="L101" s="29"/>
    </row>
    <row r="102" spans="1:12" ht="14.25" customHeight="1" x14ac:dyDescent="0.3">
      <c r="A102" s="40"/>
      <c r="B102" s="29"/>
      <c r="C102" s="29"/>
      <c r="D102" s="29"/>
      <c r="E102" s="29"/>
      <c r="F102" s="29"/>
      <c r="G102" s="29"/>
      <c r="H102" s="29"/>
      <c r="I102" s="29"/>
      <c r="J102" s="29"/>
      <c r="K102" s="29"/>
      <c r="L102" s="29"/>
    </row>
    <row r="103" spans="1:12" ht="14.25" customHeight="1" x14ac:dyDescent="0.3">
      <c r="A103" s="40"/>
      <c r="B103" s="29"/>
      <c r="C103" s="29"/>
      <c r="D103" s="29"/>
      <c r="E103" s="29"/>
      <c r="F103" s="29"/>
      <c r="G103" s="29"/>
      <c r="H103" s="29"/>
      <c r="I103" s="29"/>
      <c r="J103" s="29"/>
      <c r="K103" s="29"/>
      <c r="L103" s="29"/>
    </row>
    <row r="104" spans="1:12" ht="14.25" customHeight="1" x14ac:dyDescent="0.3">
      <c r="A104" s="40"/>
      <c r="B104" s="29"/>
      <c r="C104" s="29"/>
      <c r="D104" s="29"/>
      <c r="E104" s="29"/>
      <c r="F104" s="29"/>
      <c r="G104" s="29"/>
      <c r="H104" s="29"/>
      <c r="I104" s="29"/>
      <c r="J104" s="29"/>
      <c r="K104" s="29"/>
      <c r="L104" s="29"/>
    </row>
    <row r="105" spans="1:12" ht="14.25" customHeight="1" x14ac:dyDescent="0.3">
      <c r="A105" s="40"/>
      <c r="B105" s="29"/>
      <c r="C105" s="29"/>
      <c r="D105" s="29"/>
      <c r="E105" s="29"/>
      <c r="F105" s="29"/>
      <c r="G105" s="29"/>
      <c r="H105" s="29"/>
      <c r="I105" s="29"/>
      <c r="J105" s="29"/>
      <c r="K105" s="29"/>
      <c r="L105" s="29"/>
    </row>
    <row r="106" spans="1:12" ht="14.25" customHeight="1" x14ac:dyDescent="0.3">
      <c r="A106" s="40"/>
      <c r="B106" s="29"/>
      <c r="C106" s="29"/>
      <c r="D106" s="29"/>
      <c r="E106" s="29"/>
      <c r="F106" s="29"/>
      <c r="G106" s="29"/>
      <c r="H106" s="29"/>
      <c r="I106" s="29"/>
      <c r="J106" s="29"/>
      <c r="K106" s="29"/>
      <c r="L106" s="29"/>
    </row>
    <row r="107" spans="1:12" ht="14.25" customHeight="1" x14ac:dyDescent="0.3">
      <c r="A107" s="40"/>
      <c r="B107" s="29"/>
      <c r="C107" s="29"/>
      <c r="D107" s="29"/>
      <c r="E107" s="29"/>
      <c r="F107" s="29"/>
      <c r="G107" s="29"/>
      <c r="H107" s="29"/>
      <c r="I107" s="29"/>
      <c r="J107" s="29"/>
      <c r="K107" s="29"/>
      <c r="L107" s="29"/>
    </row>
    <row r="108" spans="1:12" ht="14.25" customHeight="1" x14ac:dyDescent="0.3">
      <c r="A108" s="40"/>
      <c r="B108" s="29"/>
      <c r="C108" s="29"/>
      <c r="D108" s="29"/>
      <c r="E108" s="29"/>
      <c r="F108" s="29"/>
      <c r="G108" s="29"/>
      <c r="H108" s="29"/>
      <c r="I108" s="29"/>
      <c r="J108" s="29"/>
      <c r="K108" s="29"/>
      <c r="L108" s="29"/>
    </row>
    <row r="109" spans="1:12" ht="14.25" customHeight="1" x14ac:dyDescent="0.3">
      <c r="A109" s="40"/>
      <c r="B109" s="29"/>
      <c r="C109" s="29"/>
      <c r="D109" s="29"/>
      <c r="E109" s="29"/>
      <c r="F109" s="29"/>
      <c r="G109" s="29"/>
      <c r="H109" s="29"/>
      <c r="I109" s="29"/>
      <c r="J109" s="29"/>
      <c r="K109" s="29"/>
      <c r="L109" s="29"/>
    </row>
    <row r="110" spans="1:12" ht="14.25" customHeight="1" x14ac:dyDescent="0.3">
      <c r="A110" s="40"/>
      <c r="B110" s="29"/>
      <c r="C110" s="29"/>
      <c r="D110" s="29"/>
      <c r="E110" s="29"/>
      <c r="F110" s="29"/>
      <c r="G110" s="29"/>
      <c r="H110" s="29"/>
      <c r="I110" s="29"/>
      <c r="J110" s="29"/>
      <c r="K110" s="29"/>
      <c r="L110" s="29"/>
    </row>
    <row r="111" spans="1:12" ht="14.25" customHeight="1" x14ac:dyDescent="0.3">
      <c r="A111" s="40"/>
      <c r="B111" s="29"/>
      <c r="C111" s="29"/>
      <c r="D111" s="29"/>
      <c r="E111" s="29"/>
      <c r="F111" s="29"/>
      <c r="G111" s="29"/>
      <c r="H111" s="29"/>
      <c r="I111" s="29"/>
      <c r="J111" s="29"/>
      <c r="K111" s="29"/>
      <c r="L111" s="29"/>
    </row>
    <row r="112" spans="1:12" ht="14.25" customHeight="1" x14ac:dyDescent="0.3">
      <c r="A112" s="40"/>
      <c r="B112" s="29"/>
      <c r="C112" s="29"/>
      <c r="D112" s="29"/>
      <c r="E112" s="29"/>
      <c r="F112" s="29"/>
      <c r="G112" s="29"/>
      <c r="H112" s="29"/>
      <c r="I112" s="29"/>
      <c r="J112" s="29"/>
      <c r="K112" s="29"/>
      <c r="L112" s="29"/>
    </row>
    <row r="113" spans="1:12" ht="14.25" customHeight="1" x14ac:dyDescent="0.3">
      <c r="A113" s="40"/>
      <c r="B113" s="29"/>
      <c r="C113" s="29"/>
      <c r="D113" s="29"/>
      <c r="E113" s="29"/>
      <c r="F113" s="29"/>
      <c r="G113" s="29"/>
      <c r="H113" s="29"/>
      <c r="I113" s="29"/>
      <c r="J113" s="29"/>
      <c r="K113" s="29"/>
      <c r="L113" s="29"/>
    </row>
    <row r="114" spans="1:12" ht="14.25" customHeight="1" x14ac:dyDescent="0.3">
      <c r="A114" s="40"/>
      <c r="B114" s="29"/>
      <c r="C114" s="29"/>
      <c r="D114" s="29"/>
      <c r="E114" s="29"/>
      <c r="F114" s="29"/>
      <c r="G114" s="29"/>
      <c r="H114" s="29"/>
      <c r="I114" s="29"/>
      <c r="J114" s="29"/>
      <c r="K114" s="29"/>
      <c r="L114" s="29"/>
    </row>
    <row r="115" spans="1:12" ht="14.25" customHeight="1" x14ac:dyDescent="0.3">
      <c r="A115" s="40"/>
      <c r="B115" s="29"/>
      <c r="C115" s="29"/>
      <c r="D115" s="29"/>
      <c r="E115" s="29"/>
      <c r="F115" s="29"/>
      <c r="G115" s="29"/>
      <c r="H115" s="29"/>
      <c r="I115" s="29"/>
      <c r="J115" s="29"/>
      <c r="K115" s="29"/>
      <c r="L115" s="29"/>
    </row>
    <row r="116" spans="1:12" ht="14.25" customHeight="1" x14ac:dyDescent="0.3">
      <c r="A116" s="40"/>
      <c r="B116" s="29"/>
      <c r="C116" s="29"/>
      <c r="D116" s="29"/>
      <c r="E116" s="29"/>
      <c r="F116" s="29"/>
      <c r="G116" s="29"/>
      <c r="H116" s="29"/>
      <c r="I116" s="29"/>
      <c r="J116" s="29"/>
      <c r="K116" s="29"/>
      <c r="L116" s="29"/>
    </row>
    <row r="117" spans="1:12" ht="14.25" customHeight="1" x14ac:dyDescent="0.3">
      <c r="A117" s="40"/>
      <c r="B117" s="29"/>
      <c r="C117" s="29"/>
      <c r="D117" s="29"/>
      <c r="E117" s="29"/>
      <c r="F117" s="29"/>
      <c r="G117" s="29"/>
      <c r="H117" s="29"/>
      <c r="I117" s="29"/>
      <c r="J117" s="29"/>
      <c r="K117" s="29"/>
      <c r="L117" s="29"/>
    </row>
    <row r="118" spans="1:12" ht="14.25" customHeight="1" x14ac:dyDescent="0.3">
      <c r="A118" s="40"/>
      <c r="B118" s="29"/>
      <c r="C118" s="29"/>
      <c r="D118" s="29"/>
      <c r="E118" s="29"/>
      <c r="F118" s="29"/>
      <c r="G118" s="29"/>
      <c r="H118" s="29"/>
      <c r="I118" s="29"/>
      <c r="J118" s="29"/>
      <c r="K118" s="29"/>
      <c r="L118" s="29"/>
    </row>
    <row r="119" spans="1:12" ht="14.25" customHeight="1" x14ac:dyDescent="0.3">
      <c r="A119" s="40"/>
      <c r="B119" s="29"/>
      <c r="C119" s="29"/>
      <c r="D119" s="29"/>
      <c r="E119" s="29"/>
      <c r="F119" s="29"/>
      <c r="G119" s="29"/>
      <c r="H119" s="29"/>
      <c r="I119" s="29"/>
      <c r="J119" s="29"/>
      <c r="K119" s="29"/>
      <c r="L119" s="29"/>
    </row>
    <row r="120" spans="1:12" ht="14.25" customHeight="1" x14ac:dyDescent="0.3">
      <c r="A120" s="40"/>
      <c r="B120" s="29"/>
      <c r="C120" s="29"/>
      <c r="D120" s="29"/>
      <c r="E120" s="29"/>
      <c r="F120" s="29"/>
      <c r="G120" s="29"/>
      <c r="H120" s="29"/>
      <c r="I120" s="29"/>
      <c r="J120" s="29"/>
      <c r="K120" s="29"/>
      <c r="L120" s="29"/>
    </row>
    <row r="121" spans="1:12" ht="14.25" customHeight="1" x14ac:dyDescent="0.3">
      <c r="A121" s="40"/>
      <c r="B121" s="29"/>
      <c r="C121" s="29"/>
      <c r="D121" s="29"/>
      <c r="E121" s="29"/>
      <c r="F121" s="29"/>
      <c r="G121" s="29"/>
      <c r="H121" s="29"/>
      <c r="I121" s="29"/>
      <c r="J121" s="29"/>
      <c r="K121" s="29"/>
      <c r="L121" s="29"/>
    </row>
    <row r="122" spans="1:12" ht="14.25" customHeight="1" x14ac:dyDescent="0.3">
      <c r="A122" s="40"/>
      <c r="B122" s="29"/>
      <c r="C122" s="29"/>
      <c r="D122" s="29"/>
      <c r="E122" s="29"/>
      <c r="F122" s="29"/>
      <c r="G122" s="29"/>
      <c r="H122" s="29"/>
      <c r="I122" s="29"/>
      <c r="J122" s="29"/>
      <c r="K122" s="29"/>
      <c r="L122" s="29"/>
    </row>
    <row r="123" spans="1:12" ht="14.25" customHeight="1" x14ac:dyDescent="0.3">
      <c r="A123" s="40"/>
      <c r="B123" s="29"/>
      <c r="C123" s="29"/>
      <c r="D123" s="29"/>
      <c r="E123" s="29"/>
      <c r="F123" s="29"/>
      <c r="G123" s="29"/>
      <c r="H123" s="29"/>
      <c r="I123" s="29"/>
      <c r="J123" s="29"/>
      <c r="K123" s="29"/>
      <c r="L123" s="29"/>
    </row>
    <row r="124" spans="1:12" ht="14.25" customHeight="1" x14ac:dyDescent="0.3">
      <c r="A124" s="40"/>
      <c r="B124" s="29"/>
      <c r="C124" s="29"/>
      <c r="D124" s="29"/>
      <c r="E124" s="29"/>
      <c r="F124" s="29"/>
      <c r="G124" s="29"/>
      <c r="H124" s="29"/>
      <c r="I124" s="29"/>
      <c r="J124" s="29"/>
      <c r="K124" s="29"/>
      <c r="L124" s="29"/>
    </row>
    <row r="125" spans="1:12" ht="14.25" customHeight="1" x14ac:dyDescent="0.3">
      <c r="A125" s="40"/>
      <c r="B125" s="29"/>
      <c r="C125" s="29"/>
      <c r="D125" s="29"/>
      <c r="E125" s="29"/>
      <c r="F125" s="29"/>
      <c r="G125" s="29"/>
      <c r="H125" s="29"/>
      <c r="I125" s="29"/>
      <c r="J125" s="29"/>
      <c r="K125" s="29"/>
      <c r="L125" s="29"/>
    </row>
    <row r="126" spans="1:12" ht="14.25" customHeight="1" x14ac:dyDescent="0.3">
      <c r="A126" s="40"/>
      <c r="B126" s="29"/>
      <c r="C126" s="29"/>
      <c r="D126" s="29"/>
      <c r="E126" s="29"/>
      <c r="F126" s="29"/>
      <c r="G126" s="29"/>
      <c r="H126" s="29"/>
      <c r="I126" s="29"/>
      <c r="J126" s="29"/>
      <c r="K126" s="29"/>
      <c r="L126" s="29"/>
    </row>
    <row r="127" spans="1:12" ht="14.25" customHeight="1" x14ac:dyDescent="0.3">
      <c r="A127" s="40"/>
      <c r="B127" s="29"/>
      <c r="C127" s="29"/>
      <c r="D127" s="29"/>
      <c r="E127" s="29"/>
      <c r="F127" s="29"/>
      <c r="G127" s="29"/>
      <c r="H127" s="29"/>
      <c r="I127" s="29"/>
      <c r="J127" s="29"/>
      <c r="K127" s="29"/>
      <c r="L127" s="29"/>
    </row>
    <row r="128" spans="1:12" ht="14.25" customHeight="1" x14ac:dyDescent="0.3">
      <c r="A128" s="40"/>
      <c r="B128" s="29"/>
      <c r="C128" s="29"/>
      <c r="D128" s="29"/>
      <c r="E128" s="29"/>
      <c r="F128" s="29"/>
      <c r="G128" s="29"/>
      <c r="H128" s="29"/>
      <c r="I128" s="29"/>
      <c r="J128" s="29"/>
      <c r="K128" s="29"/>
      <c r="L128" s="29"/>
    </row>
    <row r="129" spans="1:12" ht="14.25" customHeight="1" x14ac:dyDescent="0.3">
      <c r="A129" s="40"/>
      <c r="B129" s="29"/>
      <c r="C129" s="29"/>
      <c r="D129" s="29"/>
      <c r="E129" s="29"/>
      <c r="F129" s="29"/>
      <c r="G129" s="29"/>
      <c r="H129" s="29"/>
      <c r="I129" s="29"/>
      <c r="J129" s="29"/>
      <c r="K129" s="29"/>
      <c r="L129" s="29"/>
    </row>
    <row r="130" spans="1:12" ht="14.25" customHeight="1" x14ac:dyDescent="0.3">
      <c r="A130" s="40"/>
      <c r="B130" s="29"/>
      <c r="C130" s="29"/>
      <c r="D130" s="29"/>
      <c r="E130" s="29"/>
      <c r="F130" s="29"/>
      <c r="G130" s="29"/>
      <c r="H130" s="29"/>
      <c r="I130" s="29"/>
      <c r="J130" s="29"/>
      <c r="K130" s="29"/>
      <c r="L130" s="29"/>
    </row>
    <row r="131" spans="1:12" ht="14.25" customHeight="1" x14ac:dyDescent="0.3">
      <c r="A131" s="40"/>
      <c r="B131" s="29"/>
      <c r="C131" s="29"/>
      <c r="D131" s="29"/>
      <c r="E131" s="29"/>
      <c r="F131" s="29"/>
      <c r="G131" s="29"/>
      <c r="H131" s="29"/>
      <c r="I131" s="29"/>
      <c r="J131" s="29"/>
      <c r="K131" s="29"/>
      <c r="L131" s="29"/>
    </row>
    <row r="132" spans="1:12" ht="14.25" customHeight="1" x14ac:dyDescent="0.3">
      <c r="A132" s="40"/>
      <c r="B132" s="29"/>
      <c r="C132" s="29"/>
      <c r="D132" s="29"/>
      <c r="E132" s="29"/>
      <c r="F132" s="29"/>
      <c r="G132" s="29"/>
      <c r="H132" s="29"/>
      <c r="I132" s="29"/>
      <c r="J132" s="29"/>
      <c r="K132" s="29"/>
      <c r="L132" s="29"/>
    </row>
    <row r="133" spans="1:12" ht="14.25" customHeight="1" x14ac:dyDescent="0.3">
      <c r="A133" s="40"/>
      <c r="B133" s="29"/>
      <c r="C133" s="29"/>
      <c r="D133" s="29"/>
      <c r="E133" s="29"/>
      <c r="F133" s="29"/>
      <c r="G133" s="29"/>
      <c r="H133" s="29"/>
      <c r="I133" s="29"/>
      <c r="J133" s="29"/>
      <c r="K133" s="29"/>
      <c r="L133" s="29"/>
    </row>
    <row r="134" spans="1:12" ht="14.25" customHeight="1" x14ac:dyDescent="0.3">
      <c r="A134" s="40"/>
      <c r="B134" s="29"/>
      <c r="C134" s="29"/>
      <c r="D134" s="29"/>
      <c r="E134" s="29"/>
      <c r="F134" s="29"/>
      <c r="G134" s="29"/>
      <c r="H134" s="29"/>
      <c r="I134" s="29"/>
      <c r="J134" s="29"/>
      <c r="K134" s="29"/>
      <c r="L134" s="29"/>
    </row>
    <row r="135" spans="1:12" ht="14.25" customHeight="1" x14ac:dyDescent="0.3">
      <c r="A135" s="40"/>
      <c r="B135" s="29"/>
      <c r="C135" s="29"/>
      <c r="D135" s="29"/>
      <c r="E135" s="29"/>
      <c r="F135" s="29"/>
      <c r="G135" s="29"/>
      <c r="H135" s="29"/>
      <c r="I135" s="29"/>
      <c r="J135" s="29"/>
      <c r="K135" s="29"/>
      <c r="L135" s="29"/>
    </row>
    <row r="136" spans="1:12" ht="14.25" customHeight="1" x14ac:dyDescent="0.3">
      <c r="A136" s="40"/>
      <c r="B136" s="29"/>
      <c r="C136" s="29"/>
      <c r="D136" s="29"/>
      <c r="E136" s="29"/>
      <c r="F136" s="29"/>
      <c r="G136" s="29"/>
      <c r="H136" s="29"/>
      <c r="I136" s="29"/>
      <c r="J136" s="29"/>
      <c r="K136" s="29"/>
      <c r="L136" s="29"/>
    </row>
    <row r="137" spans="1:12" ht="14.25" customHeight="1" x14ac:dyDescent="0.3">
      <c r="A137" s="40"/>
      <c r="B137" s="29"/>
      <c r="C137" s="29"/>
      <c r="D137" s="29"/>
      <c r="E137" s="29"/>
      <c r="F137" s="29"/>
      <c r="G137" s="29"/>
      <c r="H137" s="29"/>
      <c r="I137" s="29"/>
      <c r="J137" s="29"/>
      <c r="K137" s="29"/>
      <c r="L137" s="29"/>
    </row>
    <row r="138" spans="1:12" ht="14.25" customHeight="1" x14ac:dyDescent="0.3">
      <c r="A138" s="40"/>
      <c r="B138" s="29"/>
      <c r="C138" s="29"/>
      <c r="D138" s="29"/>
      <c r="E138" s="29"/>
      <c r="F138" s="29"/>
      <c r="G138" s="29"/>
      <c r="H138" s="29"/>
      <c r="I138" s="29"/>
      <c r="J138" s="29"/>
      <c r="K138" s="29"/>
      <c r="L138" s="29"/>
    </row>
    <row r="139" spans="1:12" ht="14.25" customHeight="1" x14ac:dyDescent="0.3">
      <c r="A139" s="40"/>
      <c r="B139" s="29"/>
      <c r="C139" s="29"/>
      <c r="D139" s="29"/>
      <c r="E139" s="29"/>
      <c r="F139" s="29"/>
      <c r="G139" s="29"/>
      <c r="H139" s="29"/>
      <c r="I139" s="29"/>
      <c r="J139" s="29"/>
      <c r="K139" s="29"/>
      <c r="L139" s="29"/>
    </row>
    <row r="140" spans="1:12" ht="14.25" customHeight="1" x14ac:dyDescent="0.3">
      <c r="A140" s="40"/>
      <c r="B140" s="29"/>
      <c r="C140" s="29"/>
      <c r="D140" s="29"/>
      <c r="E140" s="29"/>
      <c r="F140" s="29"/>
      <c r="G140" s="29"/>
      <c r="H140" s="29"/>
      <c r="I140" s="29"/>
      <c r="J140" s="29"/>
      <c r="K140" s="29"/>
      <c r="L140" s="29"/>
    </row>
    <row r="141" spans="1:12" ht="14.25" customHeight="1" x14ac:dyDescent="0.3">
      <c r="A141" s="40"/>
      <c r="B141" s="29"/>
      <c r="C141" s="29"/>
      <c r="D141" s="29"/>
      <c r="E141" s="29"/>
      <c r="F141" s="29"/>
      <c r="G141" s="29"/>
      <c r="H141" s="29"/>
      <c r="I141" s="29"/>
      <c r="J141" s="29"/>
      <c r="K141" s="29"/>
      <c r="L141" s="29"/>
    </row>
    <row r="142" spans="1:12" ht="14.25" customHeight="1" x14ac:dyDescent="0.3">
      <c r="A142" s="40"/>
      <c r="B142" s="29"/>
      <c r="C142" s="29"/>
      <c r="D142" s="29"/>
      <c r="E142" s="29"/>
      <c r="F142" s="29"/>
      <c r="G142" s="29"/>
      <c r="H142" s="29"/>
      <c r="I142" s="29"/>
      <c r="J142" s="29"/>
      <c r="K142" s="29"/>
      <c r="L142" s="29"/>
    </row>
    <row r="143" spans="1:12" ht="14.25" customHeight="1" x14ac:dyDescent="0.3">
      <c r="A143" s="40"/>
      <c r="B143" s="29"/>
      <c r="C143" s="29"/>
      <c r="D143" s="29"/>
      <c r="E143" s="29"/>
      <c r="F143" s="29"/>
      <c r="G143" s="29"/>
      <c r="H143" s="29"/>
      <c r="I143" s="29"/>
      <c r="J143" s="29"/>
      <c r="K143" s="29"/>
      <c r="L143" s="29"/>
    </row>
    <row r="144" spans="1:12" ht="14.25" customHeight="1" x14ac:dyDescent="0.3">
      <c r="A144" s="40"/>
      <c r="B144" s="29"/>
      <c r="C144" s="29"/>
      <c r="D144" s="29"/>
      <c r="E144" s="29"/>
      <c r="F144" s="29"/>
      <c r="G144" s="29"/>
      <c r="H144" s="29"/>
      <c r="I144" s="29"/>
      <c r="J144" s="29"/>
      <c r="K144" s="29"/>
      <c r="L144" s="29"/>
    </row>
    <row r="145" spans="1:12" ht="14.25" customHeight="1" x14ac:dyDescent="0.3">
      <c r="A145" s="40"/>
      <c r="B145" s="29"/>
      <c r="C145" s="29"/>
      <c r="D145" s="29"/>
      <c r="E145" s="29"/>
      <c r="F145" s="29"/>
      <c r="G145" s="29"/>
      <c r="H145" s="29"/>
      <c r="I145" s="29"/>
      <c r="J145" s="29"/>
      <c r="K145" s="29"/>
      <c r="L145" s="29"/>
    </row>
    <row r="146" spans="1:12" ht="14.25" customHeight="1" x14ac:dyDescent="0.3">
      <c r="A146" s="40"/>
      <c r="B146" s="29"/>
      <c r="C146" s="29"/>
      <c r="D146" s="29"/>
      <c r="E146" s="29"/>
      <c r="F146" s="29"/>
      <c r="G146" s="29"/>
      <c r="H146" s="29"/>
      <c r="I146" s="29"/>
      <c r="J146" s="29"/>
      <c r="K146" s="29"/>
      <c r="L146" s="29"/>
    </row>
    <row r="147" spans="1:12" ht="14.25" customHeight="1" x14ac:dyDescent="0.3">
      <c r="A147" s="40"/>
      <c r="B147" s="29"/>
      <c r="C147" s="29"/>
      <c r="D147" s="29"/>
      <c r="E147" s="29"/>
      <c r="F147" s="29"/>
      <c r="G147" s="29"/>
      <c r="H147" s="29"/>
      <c r="I147" s="29"/>
      <c r="J147" s="29"/>
      <c r="K147" s="29"/>
      <c r="L147" s="29"/>
    </row>
    <row r="148" spans="1:12" ht="14.25" customHeight="1" x14ac:dyDescent="0.3">
      <c r="A148" s="40"/>
      <c r="B148" s="29"/>
      <c r="C148" s="29"/>
      <c r="D148" s="29"/>
      <c r="E148" s="29"/>
      <c r="F148" s="29"/>
      <c r="G148" s="29"/>
      <c r="H148" s="29"/>
      <c r="I148" s="29"/>
      <c r="J148" s="29"/>
      <c r="K148" s="29"/>
      <c r="L148" s="29"/>
    </row>
    <row r="149" spans="1:12" ht="14.25" customHeight="1" x14ac:dyDescent="0.3">
      <c r="A149" s="40"/>
      <c r="B149" s="29"/>
      <c r="C149" s="29"/>
      <c r="D149" s="29"/>
      <c r="E149" s="29"/>
      <c r="F149" s="29"/>
      <c r="G149" s="29"/>
      <c r="H149" s="29"/>
      <c r="I149" s="29"/>
      <c r="J149" s="29"/>
      <c r="K149" s="29"/>
      <c r="L149" s="29"/>
    </row>
    <row r="150" spans="1:12" ht="14.25" customHeight="1" x14ac:dyDescent="0.3">
      <c r="A150" s="40"/>
      <c r="B150" s="29"/>
      <c r="C150" s="29"/>
      <c r="D150" s="29"/>
      <c r="E150" s="29"/>
      <c r="F150" s="29"/>
      <c r="G150" s="29"/>
      <c r="H150" s="29"/>
      <c r="I150" s="29"/>
      <c r="J150" s="29"/>
      <c r="K150" s="29"/>
      <c r="L150" s="29"/>
    </row>
    <row r="151" spans="1:12" ht="14.25" customHeight="1" x14ac:dyDescent="0.3">
      <c r="A151" s="40"/>
      <c r="B151" s="29"/>
      <c r="C151" s="29"/>
      <c r="D151" s="29"/>
      <c r="E151" s="29"/>
      <c r="F151" s="29"/>
      <c r="G151" s="29"/>
      <c r="H151" s="29"/>
      <c r="I151" s="29"/>
      <c r="J151" s="29"/>
      <c r="K151" s="29"/>
      <c r="L151" s="29"/>
    </row>
    <row r="152" spans="1:12" ht="14.25" customHeight="1" x14ac:dyDescent="0.3">
      <c r="A152" s="40"/>
      <c r="B152" s="29"/>
      <c r="C152" s="29"/>
      <c r="D152" s="29"/>
      <c r="E152" s="29"/>
      <c r="F152" s="29"/>
      <c r="G152" s="29"/>
      <c r="H152" s="29"/>
      <c r="I152" s="29"/>
      <c r="J152" s="29"/>
      <c r="K152" s="29"/>
      <c r="L152" s="29"/>
    </row>
    <row r="153" spans="1:12" ht="14.25" customHeight="1" x14ac:dyDescent="0.3">
      <c r="A153" s="40"/>
      <c r="B153" s="29"/>
      <c r="C153" s="29"/>
      <c r="D153" s="29"/>
      <c r="E153" s="29"/>
      <c r="F153" s="29"/>
      <c r="G153" s="29"/>
      <c r="H153" s="29"/>
      <c r="I153" s="29"/>
      <c r="J153" s="29"/>
      <c r="K153" s="29"/>
      <c r="L153" s="29"/>
    </row>
    <row r="154" spans="1:12" ht="14.25" customHeight="1" x14ac:dyDescent="0.3">
      <c r="A154" s="40"/>
      <c r="B154" s="29"/>
      <c r="C154" s="29"/>
      <c r="D154" s="29"/>
      <c r="E154" s="29"/>
      <c r="F154" s="29"/>
      <c r="G154" s="29"/>
      <c r="H154" s="29"/>
      <c r="I154" s="29"/>
      <c r="J154" s="29"/>
      <c r="K154" s="29"/>
      <c r="L154" s="29"/>
    </row>
    <row r="155" spans="1:12" ht="14.25" customHeight="1" x14ac:dyDescent="0.3">
      <c r="A155" s="40"/>
      <c r="B155" s="29"/>
      <c r="C155" s="29"/>
      <c r="D155" s="29"/>
      <c r="E155" s="29"/>
      <c r="F155" s="29"/>
      <c r="G155" s="29"/>
      <c r="H155" s="29"/>
      <c r="I155" s="29"/>
      <c r="J155" s="29"/>
      <c r="K155" s="29"/>
      <c r="L155" s="29"/>
    </row>
    <row r="156" spans="1:12" ht="14.25" customHeight="1" x14ac:dyDescent="0.3">
      <c r="A156" s="40"/>
      <c r="B156" s="29"/>
      <c r="C156" s="29"/>
      <c r="D156" s="29"/>
      <c r="E156" s="29"/>
      <c r="F156" s="29"/>
      <c r="G156" s="29"/>
      <c r="H156" s="29"/>
      <c r="I156" s="29"/>
      <c r="J156" s="29"/>
      <c r="K156" s="29"/>
      <c r="L156" s="29"/>
    </row>
    <row r="157" spans="1:12" ht="14.25" customHeight="1" x14ac:dyDescent="0.3">
      <c r="A157" s="40"/>
      <c r="B157" s="29"/>
      <c r="C157" s="29"/>
      <c r="D157" s="29"/>
      <c r="E157" s="29"/>
      <c r="F157" s="29"/>
      <c r="G157" s="29"/>
      <c r="H157" s="29"/>
      <c r="I157" s="29"/>
      <c r="J157" s="29"/>
      <c r="K157" s="29"/>
      <c r="L157" s="29"/>
    </row>
    <row r="158" spans="1:12" ht="14.25" customHeight="1" x14ac:dyDescent="0.3">
      <c r="A158" s="40"/>
      <c r="B158" s="29"/>
      <c r="C158" s="29"/>
      <c r="D158" s="29"/>
      <c r="E158" s="29"/>
      <c r="F158" s="29"/>
      <c r="G158" s="29"/>
      <c r="H158" s="29"/>
      <c r="I158" s="29"/>
      <c r="J158" s="29"/>
      <c r="K158" s="29"/>
      <c r="L158" s="29"/>
    </row>
    <row r="159" spans="1:12" ht="14.25" customHeight="1" x14ac:dyDescent="0.3">
      <c r="A159" s="40"/>
      <c r="B159" s="29"/>
      <c r="C159" s="29"/>
      <c r="D159" s="29"/>
      <c r="E159" s="29"/>
      <c r="F159" s="29"/>
      <c r="G159" s="29"/>
      <c r="H159" s="29"/>
      <c r="I159" s="29"/>
      <c r="J159" s="29"/>
      <c r="K159" s="29"/>
      <c r="L159" s="29"/>
    </row>
    <row r="160" spans="1:12" ht="14.25" customHeight="1" x14ac:dyDescent="0.3">
      <c r="A160" s="40"/>
      <c r="B160" s="29"/>
      <c r="C160" s="29"/>
      <c r="D160" s="29"/>
      <c r="E160" s="29"/>
      <c r="F160" s="29"/>
      <c r="G160" s="29"/>
      <c r="H160" s="29"/>
      <c r="I160" s="29"/>
      <c r="J160" s="29"/>
      <c r="K160" s="29"/>
      <c r="L160" s="29"/>
    </row>
    <row r="161" spans="1:12" ht="14.25" customHeight="1" x14ac:dyDescent="0.3">
      <c r="A161" s="40"/>
      <c r="B161" s="29"/>
      <c r="C161" s="29"/>
      <c r="D161" s="29"/>
      <c r="E161" s="29"/>
      <c r="F161" s="29"/>
      <c r="G161" s="29"/>
      <c r="H161" s="29"/>
      <c r="I161" s="29"/>
      <c r="J161" s="29"/>
      <c r="K161" s="29"/>
      <c r="L161" s="29"/>
    </row>
    <row r="162" spans="1:12" ht="14.25" customHeight="1" x14ac:dyDescent="0.3">
      <c r="A162" s="40"/>
      <c r="B162" s="29"/>
      <c r="C162" s="29"/>
      <c r="D162" s="29"/>
      <c r="E162" s="29"/>
      <c r="F162" s="29"/>
      <c r="G162" s="29"/>
      <c r="H162" s="29"/>
      <c r="I162" s="29"/>
      <c r="J162" s="29"/>
      <c r="K162" s="29"/>
      <c r="L162" s="29"/>
    </row>
    <row r="163" spans="1:12" ht="14.25" customHeight="1" x14ac:dyDescent="0.3">
      <c r="A163" s="40"/>
      <c r="B163" s="29"/>
      <c r="C163" s="29"/>
      <c r="D163" s="29"/>
      <c r="E163" s="29"/>
      <c r="F163" s="29"/>
      <c r="G163" s="29"/>
      <c r="H163" s="29"/>
      <c r="I163" s="29"/>
      <c r="J163" s="29"/>
      <c r="K163" s="29"/>
      <c r="L163" s="29"/>
    </row>
    <row r="164" spans="1:12" ht="14.25" customHeight="1" x14ac:dyDescent="0.3">
      <c r="A164" s="40"/>
      <c r="B164" s="29"/>
      <c r="C164" s="29"/>
      <c r="D164" s="29"/>
      <c r="E164" s="29"/>
      <c r="F164" s="29"/>
      <c r="G164" s="29"/>
      <c r="H164" s="29"/>
      <c r="I164" s="29"/>
      <c r="J164" s="29"/>
      <c r="K164" s="29"/>
      <c r="L164" s="29"/>
    </row>
    <row r="165" spans="1:12" ht="14.25" customHeight="1" x14ac:dyDescent="0.3">
      <c r="A165" s="40"/>
      <c r="B165" s="29"/>
      <c r="C165" s="29"/>
      <c r="D165" s="29"/>
      <c r="E165" s="29"/>
      <c r="F165" s="29"/>
      <c r="G165" s="29"/>
      <c r="H165" s="29"/>
      <c r="I165" s="29"/>
      <c r="J165" s="29"/>
      <c r="K165" s="29"/>
      <c r="L165" s="29"/>
    </row>
    <row r="166" spans="1:12" ht="14.25" customHeight="1" x14ac:dyDescent="0.3">
      <c r="A166" s="40"/>
      <c r="B166" s="29"/>
      <c r="C166" s="29"/>
      <c r="D166" s="29"/>
      <c r="E166" s="29"/>
      <c r="F166" s="29"/>
      <c r="G166" s="29"/>
      <c r="H166" s="29"/>
      <c r="I166" s="29"/>
      <c r="J166" s="29"/>
      <c r="K166" s="29"/>
      <c r="L166" s="29"/>
    </row>
    <row r="167" spans="1:12" ht="14.25" customHeight="1" x14ac:dyDescent="0.3">
      <c r="A167" s="40"/>
      <c r="B167" s="29"/>
      <c r="C167" s="29"/>
      <c r="D167" s="29"/>
      <c r="E167" s="29"/>
      <c r="F167" s="29"/>
      <c r="G167" s="29"/>
      <c r="H167" s="29"/>
      <c r="I167" s="29"/>
      <c r="J167" s="29"/>
      <c r="K167" s="29"/>
      <c r="L167" s="29"/>
    </row>
    <row r="168" spans="1:12" ht="14.25" customHeight="1" x14ac:dyDescent="0.3">
      <c r="A168" s="40"/>
      <c r="B168" s="29"/>
      <c r="C168" s="29"/>
      <c r="D168" s="29"/>
      <c r="E168" s="29"/>
      <c r="F168" s="29"/>
      <c r="G168" s="29"/>
      <c r="H168" s="29"/>
      <c r="I168" s="29"/>
      <c r="J168" s="29"/>
      <c r="K168" s="29"/>
      <c r="L168" s="29"/>
    </row>
    <row r="169" spans="1:12" ht="14.25" customHeight="1" x14ac:dyDescent="0.3">
      <c r="A169" s="40"/>
      <c r="B169" s="29"/>
      <c r="C169" s="29"/>
      <c r="D169" s="29"/>
      <c r="E169" s="29"/>
      <c r="F169" s="29"/>
      <c r="G169" s="29"/>
      <c r="H169" s="29"/>
      <c r="I169" s="29"/>
      <c r="J169" s="29"/>
      <c r="K169" s="29"/>
      <c r="L169" s="29"/>
    </row>
    <row r="170" spans="1:12" ht="14.25" customHeight="1" x14ac:dyDescent="0.3">
      <c r="A170" s="40"/>
      <c r="B170" s="29"/>
      <c r="C170" s="29"/>
      <c r="D170" s="29"/>
      <c r="E170" s="29"/>
      <c r="F170" s="29"/>
      <c r="G170" s="29"/>
      <c r="H170" s="29"/>
      <c r="I170" s="29"/>
      <c r="J170" s="29"/>
      <c r="K170" s="29"/>
      <c r="L170" s="29"/>
    </row>
    <row r="171" spans="1:12" ht="14.25" customHeight="1" x14ac:dyDescent="0.3">
      <c r="A171" s="40"/>
      <c r="B171" s="29"/>
      <c r="C171" s="29"/>
      <c r="D171" s="29"/>
      <c r="E171" s="29"/>
      <c r="F171" s="29"/>
      <c r="G171" s="29"/>
      <c r="H171" s="29"/>
      <c r="I171" s="29"/>
      <c r="J171" s="29"/>
      <c r="K171" s="29"/>
      <c r="L171" s="29"/>
    </row>
    <row r="172" spans="1:12" ht="14.25" customHeight="1" x14ac:dyDescent="0.3">
      <c r="A172" s="40"/>
      <c r="B172" s="29"/>
      <c r="C172" s="29"/>
      <c r="D172" s="29"/>
      <c r="E172" s="29"/>
      <c r="F172" s="29"/>
      <c r="G172" s="29"/>
      <c r="H172" s="29"/>
      <c r="I172" s="29"/>
      <c r="J172" s="29"/>
      <c r="K172" s="29"/>
      <c r="L172" s="29"/>
    </row>
    <row r="173" spans="1:12" ht="14.25" customHeight="1" x14ac:dyDescent="0.3">
      <c r="A173" s="40"/>
      <c r="B173" s="29"/>
      <c r="C173" s="29"/>
      <c r="D173" s="29"/>
      <c r="E173" s="29"/>
      <c r="F173" s="29"/>
      <c r="G173" s="29"/>
      <c r="H173" s="29"/>
      <c r="I173" s="29"/>
      <c r="J173" s="29"/>
      <c r="K173" s="29"/>
      <c r="L173" s="29"/>
    </row>
    <row r="174" spans="1:12" ht="14.25" customHeight="1" x14ac:dyDescent="0.3">
      <c r="A174" s="40"/>
      <c r="B174" s="29"/>
      <c r="C174" s="29"/>
      <c r="D174" s="29"/>
      <c r="E174" s="29"/>
      <c r="F174" s="29"/>
      <c r="G174" s="29"/>
      <c r="H174" s="29"/>
      <c r="I174" s="29"/>
      <c r="J174" s="29"/>
      <c r="K174" s="29"/>
      <c r="L174" s="29"/>
    </row>
    <row r="175" spans="1:12" ht="14.25" customHeight="1" x14ac:dyDescent="0.3">
      <c r="A175" s="40"/>
      <c r="B175" s="29"/>
      <c r="C175" s="29"/>
      <c r="D175" s="29"/>
      <c r="E175" s="29"/>
      <c r="F175" s="29"/>
      <c r="G175" s="29"/>
      <c r="H175" s="29"/>
      <c r="I175" s="29"/>
      <c r="J175" s="29"/>
      <c r="K175" s="29"/>
      <c r="L175" s="29"/>
    </row>
    <row r="176" spans="1:12" ht="14.25" customHeight="1" x14ac:dyDescent="0.3">
      <c r="A176" s="40"/>
      <c r="B176" s="29"/>
      <c r="C176" s="29"/>
      <c r="D176" s="29"/>
      <c r="E176" s="29"/>
      <c r="F176" s="29"/>
      <c r="G176" s="29"/>
      <c r="H176" s="29"/>
      <c r="I176" s="29"/>
      <c r="J176" s="29"/>
      <c r="K176" s="29"/>
      <c r="L176" s="29"/>
    </row>
    <row r="177" spans="1:12" ht="14.25" customHeight="1" x14ac:dyDescent="0.3">
      <c r="A177" s="40"/>
      <c r="B177" s="29"/>
      <c r="C177" s="29"/>
      <c r="D177" s="29"/>
      <c r="E177" s="29"/>
      <c r="F177" s="29"/>
      <c r="G177" s="29"/>
      <c r="H177" s="29"/>
      <c r="I177" s="29"/>
      <c r="J177" s="29"/>
      <c r="K177" s="29"/>
      <c r="L177" s="29"/>
    </row>
    <row r="178" spans="1:12" ht="14.25" customHeight="1" x14ac:dyDescent="0.3">
      <c r="A178" s="40"/>
      <c r="B178" s="29"/>
      <c r="C178" s="29"/>
      <c r="D178" s="29"/>
      <c r="E178" s="29"/>
      <c r="F178" s="29"/>
      <c r="G178" s="29"/>
      <c r="H178" s="29"/>
      <c r="I178" s="29"/>
      <c r="J178" s="29"/>
      <c r="K178" s="29"/>
      <c r="L178" s="29"/>
    </row>
    <row r="179" spans="1:12" ht="14.25" customHeight="1" x14ac:dyDescent="0.3">
      <c r="A179" s="40"/>
      <c r="B179" s="29"/>
      <c r="C179" s="29"/>
      <c r="D179" s="29"/>
      <c r="E179" s="29"/>
      <c r="F179" s="29"/>
      <c r="G179" s="29"/>
      <c r="H179" s="29"/>
      <c r="I179" s="29"/>
      <c r="J179" s="29"/>
      <c r="K179" s="29"/>
      <c r="L179" s="29"/>
    </row>
    <row r="180" spans="1:12" ht="14.25" customHeight="1" x14ac:dyDescent="0.3">
      <c r="A180" s="40"/>
      <c r="B180" s="29"/>
      <c r="C180" s="29"/>
      <c r="D180" s="29"/>
      <c r="E180" s="29"/>
      <c r="F180" s="29"/>
      <c r="G180" s="29"/>
      <c r="H180" s="29"/>
      <c r="I180" s="29"/>
      <c r="J180" s="29"/>
      <c r="K180" s="29"/>
      <c r="L180" s="29"/>
    </row>
    <row r="181" spans="1:12" ht="14.25" customHeight="1" x14ac:dyDescent="0.3">
      <c r="A181" s="40"/>
      <c r="B181" s="29"/>
      <c r="C181" s="29"/>
      <c r="D181" s="29"/>
      <c r="E181" s="29"/>
      <c r="F181" s="29"/>
      <c r="G181" s="29"/>
      <c r="H181" s="29"/>
      <c r="I181" s="29"/>
      <c r="J181" s="29"/>
      <c r="K181" s="29"/>
      <c r="L181" s="29"/>
    </row>
    <row r="182" spans="1:12" ht="14.25" customHeight="1" x14ac:dyDescent="0.3">
      <c r="A182" s="40"/>
      <c r="B182" s="29"/>
      <c r="C182" s="29"/>
      <c r="D182" s="29"/>
      <c r="E182" s="29"/>
      <c r="F182" s="29"/>
      <c r="G182" s="29"/>
      <c r="H182" s="29"/>
      <c r="I182" s="29"/>
      <c r="J182" s="29"/>
      <c r="K182" s="29"/>
      <c r="L182" s="29"/>
    </row>
    <row r="183" spans="1:12" ht="14.25" customHeight="1" x14ac:dyDescent="0.3">
      <c r="A183" s="40"/>
      <c r="B183" s="29"/>
      <c r="C183" s="29"/>
      <c r="D183" s="29"/>
      <c r="E183" s="29"/>
      <c r="F183" s="29"/>
      <c r="G183" s="29"/>
      <c r="H183" s="29"/>
      <c r="I183" s="29"/>
      <c r="J183" s="29"/>
      <c r="K183" s="29"/>
      <c r="L183" s="29"/>
    </row>
    <row r="184" spans="1:12" ht="14.25" customHeight="1" x14ac:dyDescent="0.3">
      <c r="A184" s="40"/>
      <c r="B184" s="29"/>
      <c r="C184" s="29"/>
      <c r="D184" s="29"/>
      <c r="E184" s="29"/>
      <c r="F184" s="29"/>
      <c r="G184" s="29"/>
      <c r="H184" s="29"/>
      <c r="I184" s="29"/>
      <c r="J184" s="29"/>
      <c r="K184" s="29"/>
      <c r="L184" s="29"/>
    </row>
    <row r="185" spans="1:12" ht="14.25" customHeight="1" x14ac:dyDescent="0.3">
      <c r="A185" s="40"/>
      <c r="B185" s="29"/>
      <c r="C185" s="29"/>
      <c r="D185" s="29"/>
      <c r="E185" s="29"/>
      <c r="F185" s="29"/>
      <c r="G185" s="29"/>
      <c r="H185" s="29"/>
      <c r="I185" s="29"/>
      <c r="J185" s="29"/>
      <c r="K185" s="29"/>
      <c r="L185" s="29"/>
    </row>
    <row r="186" spans="1:12" ht="14.25" customHeight="1" x14ac:dyDescent="0.3">
      <c r="A186" s="40"/>
      <c r="B186" s="29"/>
      <c r="C186" s="29"/>
      <c r="D186" s="29"/>
      <c r="E186" s="29"/>
      <c r="F186" s="29"/>
      <c r="G186" s="29"/>
      <c r="H186" s="29"/>
      <c r="I186" s="29"/>
      <c r="J186" s="29"/>
      <c r="K186" s="29"/>
      <c r="L186" s="29"/>
    </row>
    <row r="187" spans="1:12" ht="14.25" customHeight="1" x14ac:dyDescent="0.3">
      <c r="A187" s="40"/>
      <c r="B187" s="29"/>
      <c r="C187" s="29"/>
      <c r="D187" s="29"/>
      <c r="E187" s="29"/>
      <c r="F187" s="29"/>
      <c r="G187" s="29"/>
      <c r="H187" s="29"/>
      <c r="I187" s="29"/>
      <c r="J187" s="29"/>
      <c r="K187" s="29"/>
      <c r="L187" s="29"/>
    </row>
    <row r="188" spans="1:12" ht="14.25" customHeight="1" x14ac:dyDescent="0.3">
      <c r="A188" s="40"/>
      <c r="B188" s="29"/>
      <c r="C188" s="29"/>
      <c r="D188" s="29"/>
      <c r="E188" s="29"/>
      <c r="F188" s="29"/>
      <c r="G188" s="29"/>
      <c r="H188" s="29"/>
      <c r="I188" s="29"/>
      <c r="J188" s="29"/>
      <c r="K188" s="29"/>
      <c r="L188" s="29"/>
    </row>
    <row r="189" spans="1:12" ht="14.25" customHeight="1" x14ac:dyDescent="0.3">
      <c r="A189" s="40"/>
      <c r="B189" s="29"/>
      <c r="C189" s="29"/>
      <c r="D189" s="29"/>
      <c r="E189" s="29"/>
      <c r="F189" s="29"/>
      <c r="G189" s="29"/>
      <c r="H189" s="29"/>
      <c r="I189" s="29"/>
      <c r="J189" s="29"/>
      <c r="K189" s="29"/>
      <c r="L189" s="29"/>
    </row>
    <row r="190" spans="1:12" ht="14.25" customHeight="1" x14ac:dyDescent="0.3">
      <c r="A190" s="40"/>
      <c r="B190" s="29"/>
      <c r="C190" s="29"/>
      <c r="D190" s="29"/>
      <c r="E190" s="29"/>
      <c r="F190" s="29"/>
      <c r="G190" s="29"/>
      <c r="H190" s="29"/>
      <c r="I190" s="29"/>
      <c r="J190" s="29"/>
      <c r="K190" s="29"/>
      <c r="L190" s="29"/>
    </row>
    <row r="191" spans="1:12" ht="14.25" customHeight="1" x14ac:dyDescent="0.3">
      <c r="A191" s="40"/>
      <c r="B191" s="29"/>
      <c r="C191" s="29"/>
      <c r="D191" s="29"/>
      <c r="E191" s="29"/>
      <c r="F191" s="29"/>
      <c r="G191" s="29"/>
      <c r="H191" s="29"/>
      <c r="I191" s="29"/>
      <c r="J191" s="29"/>
      <c r="K191" s="29"/>
      <c r="L191" s="29"/>
    </row>
    <row r="192" spans="1:12" ht="14.25" customHeight="1" x14ac:dyDescent="0.3">
      <c r="A192" s="40"/>
      <c r="B192" s="29"/>
      <c r="C192" s="29"/>
      <c r="D192" s="29"/>
      <c r="E192" s="29"/>
      <c r="F192" s="29"/>
      <c r="G192" s="29"/>
      <c r="H192" s="29"/>
      <c r="I192" s="29"/>
      <c r="J192" s="29"/>
      <c r="K192" s="29"/>
      <c r="L192" s="29"/>
    </row>
    <row r="193" spans="1:12" ht="14.25" customHeight="1" x14ac:dyDescent="0.3">
      <c r="A193" s="40"/>
      <c r="B193" s="29"/>
      <c r="C193" s="29"/>
      <c r="D193" s="29"/>
      <c r="E193" s="29"/>
      <c r="F193" s="29"/>
      <c r="G193" s="29"/>
      <c r="H193" s="29"/>
      <c r="I193" s="29"/>
      <c r="J193" s="29"/>
      <c r="K193" s="29"/>
      <c r="L193" s="29"/>
    </row>
    <row r="194" spans="1:12" ht="14.25" customHeight="1" x14ac:dyDescent="0.3">
      <c r="A194" s="40"/>
      <c r="B194" s="29"/>
      <c r="C194" s="29"/>
      <c r="D194" s="29"/>
      <c r="E194" s="29"/>
      <c r="F194" s="29"/>
      <c r="G194" s="29"/>
      <c r="H194" s="29"/>
      <c r="I194" s="29"/>
      <c r="J194" s="29"/>
      <c r="K194" s="29"/>
      <c r="L194" s="29"/>
    </row>
    <row r="195" spans="1:12" ht="14.25" customHeight="1" x14ac:dyDescent="0.3">
      <c r="A195" s="40"/>
      <c r="B195" s="29"/>
      <c r="C195" s="29"/>
      <c r="D195" s="29"/>
      <c r="E195" s="29"/>
      <c r="F195" s="29"/>
      <c r="G195" s="29"/>
      <c r="H195" s="29"/>
      <c r="I195" s="29"/>
      <c r="J195" s="29"/>
      <c r="K195" s="29"/>
      <c r="L195" s="29"/>
    </row>
    <row r="196" spans="1:12" ht="14.25" customHeight="1" x14ac:dyDescent="0.3">
      <c r="A196" s="40"/>
      <c r="B196" s="29"/>
      <c r="C196" s="29"/>
      <c r="D196" s="29"/>
      <c r="E196" s="29"/>
      <c r="F196" s="29"/>
      <c r="G196" s="29"/>
      <c r="H196" s="29"/>
      <c r="I196" s="29"/>
      <c r="J196" s="29"/>
      <c r="K196" s="29"/>
      <c r="L196" s="29"/>
    </row>
    <row r="197" spans="1:12" ht="14.25" customHeight="1" x14ac:dyDescent="0.3">
      <c r="A197" s="40"/>
      <c r="B197" s="29"/>
      <c r="C197" s="29"/>
      <c r="D197" s="29"/>
      <c r="E197" s="29"/>
      <c r="F197" s="29"/>
      <c r="G197" s="29"/>
      <c r="H197" s="29"/>
      <c r="I197" s="29"/>
      <c r="J197" s="29"/>
      <c r="K197" s="29"/>
      <c r="L197" s="29"/>
    </row>
    <row r="198" spans="1:12" ht="14.25" customHeight="1" x14ac:dyDescent="0.3">
      <c r="A198" s="40"/>
      <c r="B198" s="29"/>
      <c r="C198" s="29"/>
      <c r="D198" s="29"/>
      <c r="E198" s="29"/>
      <c r="F198" s="29"/>
      <c r="G198" s="29"/>
      <c r="H198" s="29"/>
      <c r="I198" s="29"/>
      <c r="J198" s="29"/>
      <c r="K198" s="29"/>
      <c r="L198" s="29"/>
    </row>
    <row r="199" spans="1:12" ht="14.25" customHeight="1" x14ac:dyDescent="0.3">
      <c r="A199" s="40"/>
      <c r="B199" s="29"/>
      <c r="C199" s="29"/>
      <c r="D199" s="29"/>
      <c r="E199" s="29"/>
      <c r="F199" s="29"/>
      <c r="G199" s="29"/>
      <c r="H199" s="29"/>
      <c r="I199" s="29"/>
      <c r="J199" s="29"/>
      <c r="K199" s="29"/>
      <c r="L199" s="29"/>
    </row>
    <row r="200" spans="1:12" ht="14.25" customHeight="1" x14ac:dyDescent="0.3">
      <c r="A200" s="40"/>
      <c r="B200" s="29"/>
      <c r="C200" s="29"/>
      <c r="D200" s="29"/>
      <c r="E200" s="29"/>
      <c r="F200" s="29"/>
      <c r="G200" s="29"/>
      <c r="H200" s="29"/>
      <c r="I200" s="29"/>
      <c r="J200" s="29"/>
      <c r="K200" s="29"/>
      <c r="L200" s="29"/>
    </row>
    <row r="201" spans="1:12" ht="14.25" customHeight="1" x14ac:dyDescent="0.3">
      <c r="A201" s="40"/>
      <c r="B201" s="29"/>
      <c r="C201" s="29"/>
      <c r="D201" s="29"/>
      <c r="E201" s="29"/>
      <c r="F201" s="29"/>
      <c r="G201" s="29"/>
      <c r="H201" s="29"/>
      <c r="I201" s="29"/>
      <c r="J201" s="29"/>
      <c r="K201" s="29"/>
      <c r="L201" s="29"/>
    </row>
    <row r="202" spans="1:12" ht="14.25" customHeight="1" x14ac:dyDescent="0.3">
      <c r="A202" s="40"/>
      <c r="B202" s="29"/>
      <c r="C202" s="29"/>
      <c r="D202" s="29"/>
      <c r="E202" s="29"/>
      <c r="F202" s="29"/>
      <c r="G202" s="29"/>
      <c r="H202" s="29"/>
      <c r="I202" s="29"/>
      <c r="J202" s="29"/>
      <c r="K202" s="29"/>
      <c r="L202" s="29"/>
    </row>
    <row r="203" spans="1:12" ht="14.25" customHeight="1" x14ac:dyDescent="0.3">
      <c r="A203" s="40"/>
      <c r="B203" s="29"/>
      <c r="C203" s="29"/>
      <c r="D203" s="29"/>
      <c r="E203" s="29"/>
      <c r="F203" s="29"/>
      <c r="G203" s="29"/>
      <c r="H203" s="29"/>
      <c r="I203" s="29"/>
      <c r="J203" s="29"/>
      <c r="K203" s="29"/>
      <c r="L203" s="29"/>
    </row>
    <row r="204" spans="1:12" ht="14.25" customHeight="1" x14ac:dyDescent="0.3">
      <c r="A204" s="40"/>
      <c r="B204" s="29"/>
      <c r="C204" s="29"/>
      <c r="D204" s="29"/>
      <c r="E204" s="29"/>
      <c r="F204" s="29"/>
      <c r="G204" s="29"/>
      <c r="H204" s="29"/>
      <c r="I204" s="29"/>
      <c r="J204" s="29"/>
      <c r="K204" s="29"/>
      <c r="L204" s="29"/>
    </row>
    <row r="205" spans="1:12" ht="14.25" customHeight="1" x14ac:dyDescent="0.3">
      <c r="A205" s="40"/>
      <c r="B205" s="29"/>
      <c r="C205" s="29"/>
      <c r="D205" s="29"/>
      <c r="E205" s="29"/>
      <c r="F205" s="29"/>
      <c r="G205" s="29"/>
      <c r="H205" s="29"/>
      <c r="I205" s="29"/>
      <c r="J205" s="29"/>
      <c r="K205" s="29"/>
      <c r="L205" s="29"/>
    </row>
    <row r="206" spans="1:12" ht="14.25" customHeight="1" x14ac:dyDescent="0.3">
      <c r="A206" s="40"/>
      <c r="B206" s="29"/>
      <c r="C206" s="29"/>
      <c r="D206" s="29"/>
      <c r="E206" s="29"/>
      <c r="F206" s="29"/>
      <c r="G206" s="29"/>
      <c r="H206" s="29"/>
      <c r="I206" s="29"/>
      <c r="J206" s="29"/>
      <c r="K206" s="29"/>
      <c r="L206" s="29"/>
    </row>
    <row r="207" spans="1:12" ht="14.25" customHeight="1" x14ac:dyDescent="0.3">
      <c r="A207" s="40"/>
      <c r="B207" s="29"/>
      <c r="C207" s="29"/>
      <c r="D207" s="29"/>
      <c r="E207" s="29"/>
      <c r="F207" s="29"/>
      <c r="G207" s="29"/>
      <c r="H207" s="29"/>
      <c r="I207" s="29"/>
      <c r="J207" s="29"/>
      <c r="K207" s="29"/>
      <c r="L207" s="29"/>
    </row>
    <row r="208" spans="1:12" ht="14.25" customHeight="1" x14ac:dyDescent="0.3">
      <c r="A208" s="40"/>
      <c r="B208" s="29"/>
      <c r="C208" s="29"/>
      <c r="D208" s="29"/>
      <c r="E208" s="29"/>
      <c r="F208" s="29"/>
      <c r="G208" s="29"/>
      <c r="H208" s="29"/>
      <c r="I208" s="29"/>
      <c r="J208" s="29"/>
      <c r="K208" s="29"/>
      <c r="L208" s="29"/>
    </row>
    <row r="209" spans="1:12" ht="14.25" customHeight="1" x14ac:dyDescent="0.3">
      <c r="A209" s="40"/>
      <c r="B209" s="29"/>
      <c r="C209" s="29"/>
      <c r="D209" s="29"/>
      <c r="E209" s="29"/>
      <c r="F209" s="29"/>
      <c r="G209" s="29"/>
      <c r="H209" s="29"/>
      <c r="I209" s="29"/>
      <c r="J209" s="29"/>
      <c r="K209" s="29"/>
      <c r="L209" s="29"/>
    </row>
    <row r="210" spans="1:12" ht="14.25" customHeight="1" x14ac:dyDescent="0.3">
      <c r="A210" s="40"/>
      <c r="B210" s="29"/>
      <c r="C210" s="29"/>
      <c r="D210" s="29"/>
      <c r="E210" s="29"/>
      <c r="F210" s="29"/>
      <c r="G210" s="29"/>
      <c r="H210" s="29"/>
      <c r="I210" s="29"/>
      <c r="J210" s="29"/>
      <c r="K210" s="29"/>
      <c r="L210" s="29"/>
    </row>
    <row r="211" spans="1:12" ht="14.25" customHeight="1" x14ac:dyDescent="0.3">
      <c r="A211" s="40"/>
      <c r="B211" s="29"/>
      <c r="C211" s="29"/>
      <c r="D211" s="29"/>
      <c r="E211" s="29"/>
      <c r="F211" s="29"/>
      <c r="G211" s="29"/>
      <c r="H211" s="29"/>
      <c r="I211" s="29"/>
      <c r="J211" s="29"/>
      <c r="K211" s="29"/>
      <c r="L211" s="29"/>
    </row>
    <row r="212" spans="1:12" ht="14.25" customHeight="1" x14ac:dyDescent="0.3">
      <c r="A212" s="40"/>
      <c r="B212" s="29"/>
      <c r="C212" s="29"/>
      <c r="D212" s="29"/>
      <c r="E212" s="29"/>
      <c r="F212" s="29"/>
      <c r="G212" s="29"/>
      <c r="H212" s="29"/>
      <c r="I212" s="29"/>
      <c r="J212" s="29"/>
      <c r="K212" s="29"/>
      <c r="L212" s="29"/>
    </row>
    <row r="213" spans="1:12" ht="14.25" customHeight="1" x14ac:dyDescent="0.3">
      <c r="A213" s="40"/>
      <c r="B213" s="29"/>
      <c r="C213" s="29"/>
      <c r="D213" s="29"/>
      <c r="E213" s="29"/>
      <c r="F213" s="29"/>
      <c r="G213" s="29"/>
      <c r="H213" s="29"/>
      <c r="I213" s="29"/>
      <c r="J213" s="29"/>
      <c r="K213" s="29"/>
      <c r="L213" s="29"/>
    </row>
    <row r="214" spans="1:12" ht="14.25" customHeight="1" x14ac:dyDescent="0.3">
      <c r="A214" s="40"/>
      <c r="B214" s="29"/>
      <c r="C214" s="29"/>
      <c r="D214" s="29"/>
      <c r="E214" s="29"/>
      <c r="F214" s="29"/>
      <c r="G214" s="29"/>
      <c r="H214" s="29"/>
      <c r="I214" s="29"/>
      <c r="J214" s="29"/>
      <c r="K214" s="29"/>
      <c r="L214" s="29"/>
    </row>
    <row r="215" spans="1:12" ht="14.25" customHeight="1" x14ac:dyDescent="0.3">
      <c r="A215" s="40"/>
      <c r="B215" s="29"/>
      <c r="C215" s="29"/>
      <c r="D215" s="29"/>
      <c r="E215" s="29"/>
      <c r="F215" s="29"/>
      <c r="G215" s="29"/>
      <c r="H215" s="29"/>
      <c r="I215" s="29"/>
      <c r="J215" s="29"/>
      <c r="K215" s="29"/>
      <c r="L215" s="29"/>
    </row>
    <row r="216" spans="1:12" ht="14.25" customHeight="1" x14ac:dyDescent="0.3">
      <c r="A216" s="40"/>
      <c r="B216" s="29"/>
      <c r="C216" s="29"/>
      <c r="D216" s="29"/>
      <c r="E216" s="29"/>
      <c r="F216" s="29"/>
      <c r="G216" s="29"/>
      <c r="H216" s="29"/>
      <c r="I216" s="29"/>
      <c r="J216" s="29"/>
      <c r="K216" s="29"/>
      <c r="L216" s="29"/>
    </row>
    <row r="217" spans="1:12" ht="14.25" customHeight="1" x14ac:dyDescent="0.3">
      <c r="A217" s="40"/>
      <c r="B217" s="29"/>
      <c r="C217" s="29"/>
      <c r="D217" s="29"/>
      <c r="E217" s="29"/>
      <c r="F217" s="29"/>
      <c r="G217" s="29"/>
      <c r="H217" s="29"/>
      <c r="I217" s="29"/>
      <c r="J217" s="29"/>
      <c r="K217" s="29"/>
      <c r="L217" s="29"/>
    </row>
    <row r="218" spans="1:12" ht="14.25" customHeight="1" x14ac:dyDescent="0.3">
      <c r="A218" s="40"/>
      <c r="B218" s="29"/>
      <c r="C218" s="29"/>
      <c r="D218" s="29"/>
      <c r="E218" s="29"/>
      <c r="F218" s="29"/>
      <c r="G218" s="29"/>
      <c r="H218" s="29"/>
      <c r="I218" s="29"/>
      <c r="J218" s="29"/>
      <c r="K218" s="29"/>
      <c r="L218" s="29"/>
    </row>
    <row r="219" spans="1:12" ht="14.25" customHeight="1" x14ac:dyDescent="0.3">
      <c r="A219" s="40"/>
      <c r="B219" s="29"/>
      <c r="C219" s="29"/>
      <c r="D219" s="29"/>
      <c r="E219" s="29"/>
      <c r="F219" s="29"/>
      <c r="G219" s="29"/>
      <c r="H219" s="29"/>
      <c r="I219" s="29"/>
      <c r="J219" s="29"/>
      <c r="K219" s="29"/>
      <c r="L219" s="29"/>
    </row>
    <row r="220" spans="1:12" ht="14.25" customHeight="1" x14ac:dyDescent="0.3">
      <c r="A220" s="40"/>
      <c r="B220" s="29"/>
      <c r="C220" s="29"/>
      <c r="D220" s="29"/>
      <c r="E220" s="29"/>
      <c r="F220" s="29"/>
      <c r="G220" s="29"/>
      <c r="H220" s="29"/>
      <c r="I220" s="29"/>
      <c r="J220" s="29"/>
      <c r="K220" s="29"/>
      <c r="L220" s="29"/>
    </row>
    <row r="221" spans="1:12" ht="14.25" customHeight="1" x14ac:dyDescent="0.3">
      <c r="A221" s="40"/>
      <c r="B221" s="29"/>
      <c r="C221" s="29"/>
      <c r="D221" s="29"/>
      <c r="E221" s="29"/>
      <c r="F221" s="29"/>
      <c r="G221" s="29"/>
      <c r="H221" s="29"/>
      <c r="I221" s="29"/>
      <c r="J221" s="29"/>
      <c r="K221" s="29"/>
      <c r="L221" s="29"/>
    </row>
    <row r="222" spans="1:12" ht="14.25" customHeight="1" x14ac:dyDescent="0.3">
      <c r="A222" s="40"/>
      <c r="B222" s="29"/>
      <c r="C222" s="29"/>
      <c r="D222" s="29"/>
      <c r="E222" s="29"/>
      <c r="F222" s="29"/>
      <c r="G222" s="29"/>
      <c r="H222" s="29"/>
      <c r="I222" s="29"/>
      <c r="J222" s="29"/>
      <c r="K222" s="29"/>
      <c r="L222" s="29"/>
    </row>
    <row r="223" spans="1:12" ht="14.25" customHeight="1" x14ac:dyDescent="0.3">
      <c r="A223" s="40"/>
      <c r="B223" s="29"/>
      <c r="C223" s="29"/>
      <c r="D223" s="29"/>
      <c r="E223" s="29"/>
      <c r="F223" s="29"/>
      <c r="G223" s="29"/>
      <c r="H223" s="29"/>
      <c r="I223" s="29"/>
      <c r="J223" s="29"/>
      <c r="K223" s="29"/>
      <c r="L223" s="29"/>
    </row>
    <row r="224" spans="1:12" ht="14.25" customHeight="1" x14ac:dyDescent="0.3">
      <c r="A224" s="40"/>
      <c r="B224" s="29"/>
      <c r="C224" s="29"/>
      <c r="D224" s="29"/>
      <c r="E224" s="29"/>
      <c r="F224" s="29"/>
      <c r="G224" s="29"/>
      <c r="H224" s="29"/>
      <c r="I224" s="29"/>
      <c r="J224" s="29"/>
      <c r="K224" s="29"/>
      <c r="L224" s="29"/>
    </row>
    <row r="225" spans="1:12" ht="14.25" customHeight="1" x14ac:dyDescent="0.3">
      <c r="A225" s="40"/>
      <c r="B225" s="29"/>
      <c r="C225" s="29"/>
      <c r="D225" s="29"/>
      <c r="E225" s="29"/>
      <c r="F225" s="29"/>
      <c r="G225" s="29"/>
      <c r="H225" s="29"/>
      <c r="I225" s="29"/>
      <c r="J225" s="29"/>
      <c r="K225" s="29"/>
      <c r="L225" s="29"/>
    </row>
    <row r="226" spans="1:12" ht="14.25" customHeight="1" x14ac:dyDescent="0.3">
      <c r="A226" s="40"/>
      <c r="B226" s="29"/>
      <c r="C226" s="29"/>
      <c r="D226" s="29"/>
      <c r="E226" s="29"/>
      <c r="F226" s="29"/>
      <c r="G226" s="29"/>
      <c r="H226" s="29"/>
      <c r="I226" s="29"/>
      <c r="J226" s="29"/>
      <c r="K226" s="29"/>
      <c r="L226" s="29"/>
    </row>
    <row r="227" spans="1:12" ht="14.25" customHeight="1" x14ac:dyDescent="0.3">
      <c r="A227" s="40"/>
      <c r="B227" s="29"/>
      <c r="C227" s="29"/>
      <c r="D227" s="29"/>
      <c r="E227" s="29"/>
      <c r="F227" s="29"/>
      <c r="G227" s="29"/>
      <c r="H227" s="29"/>
      <c r="I227" s="29"/>
      <c r="J227" s="29"/>
      <c r="K227" s="29"/>
      <c r="L227" s="29"/>
    </row>
    <row r="228" spans="1:12" ht="14.25" customHeight="1" x14ac:dyDescent="0.3">
      <c r="A228" s="40"/>
      <c r="B228" s="29"/>
      <c r="C228" s="29"/>
      <c r="D228" s="29"/>
      <c r="E228" s="29"/>
      <c r="F228" s="29"/>
      <c r="G228" s="29"/>
      <c r="H228" s="29"/>
      <c r="I228" s="29"/>
      <c r="J228" s="29"/>
      <c r="K228" s="29"/>
      <c r="L228" s="29"/>
    </row>
    <row r="229" spans="1:12" ht="14.25" customHeight="1" x14ac:dyDescent="0.3">
      <c r="A229" s="40"/>
      <c r="B229" s="29"/>
      <c r="C229" s="29"/>
      <c r="D229" s="29"/>
      <c r="E229" s="29"/>
      <c r="F229" s="29"/>
      <c r="G229" s="29"/>
      <c r="H229" s="29"/>
      <c r="I229" s="29"/>
      <c r="J229" s="29"/>
      <c r="K229" s="29"/>
      <c r="L229" s="29"/>
    </row>
    <row r="230" spans="1:12" ht="14.25" customHeight="1" x14ac:dyDescent="0.3">
      <c r="A230" s="40"/>
      <c r="B230" s="29"/>
      <c r="C230" s="29"/>
      <c r="D230" s="29"/>
      <c r="E230" s="29"/>
      <c r="F230" s="29"/>
      <c r="G230" s="29"/>
      <c r="H230" s="29"/>
      <c r="I230" s="29"/>
      <c r="J230" s="29"/>
      <c r="K230" s="29"/>
      <c r="L230" s="29"/>
    </row>
    <row r="231" spans="1:12" ht="14.25" customHeight="1" x14ac:dyDescent="0.3">
      <c r="A231" s="40"/>
      <c r="B231" s="29"/>
      <c r="C231" s="29"/>
      <c r="D231" s="29"/>
      <c r="E231" s="29"/>
      <c r="F231" s="29"/>
      <c r="G231" s="29"/>
      <c r="H231" s="29"/>
      <c r="I231" s="29"/>
      <c r="J231" s="29"/>
      <c r="K231" s="29"/>
      <c r="L231" s="29"/>
    </row>
    <row r="232" spans="1:12" ht="14.25" customHeight="1" x14ac:dyDescent="0.3">
      <c r="A232" s="40"/>
      <c r="B232" s="29"/>
      <c r="C232" s="29"/>
      <c r="D232" s="29"/>
      <c r="E232" s="29"/>
      <c r="F232" s="29"/>
      <c r="G232" s="29"/>
      <c r="H232" s="29"/>
      <c r="I232" s="29"/>
      <c r="J232" s="29"/>
      <c r="K232" s="29"/>
      <c r="L232" s="29"/>
    </row>
    <row r="233" spans="1:12" ht="14.25" customHeight="1" x14ac:dyDescent="0.3">
      <c r="A233" s="40"/>
      <c r="B233" s="29"/>
      <c r="C233" s="29"/>
      <c r="D233" s="29"/>
      <c r="E233" s="29"/>
      <c r="F233" s="29"/>
      <c r="G233" s="29"/>
      <c r="H233" s="29"/>
      <c r="I233" s="29"/>
      <c r="J233" s="29"/>
      <c r="K233" s="29"/>
      <c r="L233" s="29"/>
    </row>
    <row r="234" spans="1:12" ht="14.25" customHeight="1" x14ac:dyDescent="0.3">
      <c r="A234" s="40"/>
      <c r="B234" s="29"/>
      <c r="C234" s="29"/>
      <c r="D234" s="29"/>
      <c r="E234" s="29"/>
      <c r="F234" s="29"/>
      <c r="G234" s="29"/>
      <c r="H234" s="29"/>
      <c r="I234" s="29"/>
      <c r="J234" s="29"/>
      <c r="K234" s="29"/>
      <c r="L234" s="29"/>
    </row>
    <row r="235" spans="1:12" ht="14.25" customHeight="1" x14ac:dyDescent="0.3">
      <c r="A235" s="40"/>
      <c r="B235" s="29"/>
      <c r="C235" s="29"/>
      <c r="D235" s="29"/>
      <c r="E235" s="29"/>
      <c r="F235" s="29"/>
      <c r="G235" s="29"/>
      <c r="H235" s="29"/>
      <c r="I235" s="29"/>
      <c r="J235" s="29"/>
      <c r="K235" s="29"/>
      <c r="L235" s="29"/>
    </row>
    <row r="236" spans="1:12" ht="14.25" customHeight="1" x14ac:dyDescent="0.3">
      <c r="A236" s="40"/>
      <c r="B236" s="29"/>
      <c r="C236" s="29"/>
      <c r="D236" s="29"/>
      <c r="E236" s="29"/>
      <c r="F236" s="29"/>
      <c r="G236" s="29"/>
      <c r="H236" s="29"/>
      <c r="I236" s="29"/>
      <c r="J236" s="29"/>
      <c r="K236" s="29"/>
      <c r="L236" s="29"/>
    </row>
    <row r="237" spans="1:12" ht="14.25" customHeight="1" x14ac:dyDescent="0.3">
      <c r="A237" s="40"/>
      <c r="B237" s="29"/>
      <c r="C237" s="29"/>
      <c r="D237" s="29"/>
      <c r="E237" s="29"/>
      <c r="F237" s="29"/>
      <c r="G237" s="29"/>
      <c r="H237" s="29"/>
      <c r="I237" s="29"/>
      <c r="J237" s="29"/>
      <c r="K237" s="29"/>
      <c r="L237" s="29"/>
    </row>
    <row r="238" spans="1:12" ht="14.25" customHeight="1" x14ac:dyDescent="0.3">
      <c r="A238" s="40"/>
      <c r="B238" s="29"/>
      <c r="C238" s="29"/>
      <c r="D238" s="29"/>
      <c r="E238" s="29"/>
      <c r="F238" s="29"/>
      <c r="G238" s="29"/>
      <c r="H238" s="29"/>
      <c r="I238" s="29"/>
      <c r="J238" s="29"/>
      <c r="K238" s="29"/>
      <c r="L238" s="29"/>
    </row>
    <row r="239" spans="1:12" ht="14.25" customHeight="1" x14ac:dyDescent="0.3">
      <c r="A239" s="40"/>
      <c r="B239" s="29"/>
      <c r="C239" s="29"/>
      <c r="D239" s="29"/>
      <c r="E239" s="29"/>
      <c r="F239" s="29"/>
      <c r="G239" s="29"/>
      <c r="H239" s="29"/>
      <c r="I239" s="29"/>
      <c r="J239" s="29"/>
      <c r="K239" s="29"/>
      <c r="L239" s="29"/>
    </row>
    <row r="240" spans="1:12" ht="14.25" customHeight="1" x14ac:dyDescent="0.3">
      <c r="A240" s="40"/>
      <c r="B240" s="29"/>
      <c r="C240" s="29"/>
      <c r="D240" s="29"/>
      <c r="E240" s="29"/>
      <c r="F240" s="29"/>
      <c r="G240" s="29"/>
      <c r="H240" s="29"/>
      <c r="I240" s="29"/>
      <c r="J240" s="29"/>
      <c r="K240" s="29"/>
      <c r="L240" s="29"/>
    </row>
    <row r="241" spans="1:12" ht="14.25" customHeight="1" x14ac:dyDescent="0.3">
      <c r="A241" s="40"/>
      <c r="B241" s="29"/>
      <c r="C241" s="29"/>
      <c r="D241" s="29"/>
      <c r="E241" s="29"/>
      <c r="F241" s="29"/>
      <c r="G241" s="29"/>
      <c r="H241" s="29"/>
      <c r="I241" s="29"/>
      <c r="J241" s="29"/>
      <c r="K241" s="29"/>
      <c r="L241" s="29"/>
    </row>
    <row r="242" spans="1:12" ht="14.25" customHeight="1" x14ac:dyDescent="0.3">
      <c r="A242" s="40"/>
      <c r="B242" s="29"/>
      <c r="C242" s="29"/>
      <c r="D242" s="29"/>
      <c r="E242" s="29"/>
      <c r="F242" s="29"/>
      <c r="G242" s="29"/>
      <c r="H242" s="29"/>
      <c r="I242" s="29"/>
      <c r="J242" s="29"/>
      <c r="K242" s="29"/>
      <c r="L242" s="29"/>
    </row>
    <row r="243" spans="1:12" ht="14.25" customHeight="1" x14ac:dyDescent="0.3">
      <c r="A243" s="40"/>
      <c r="B243" s="29"/>
      <c r="C243" s="29"/>
      <c r="D243" s="29"/>
      <c r="E243" s="29"/>
      <c r="F243" s="29"/>
      <c r="G243" s="29"/>
      <c r="H243" s="29"/>
      <c r="I243" s="29"/>
      <c r="J243" s="29"/>
      <c r="K243" s="29"/>
      <c r="L243" s="29"/>
    </row>
    <row r="244" spans="1:12" ht="14.25" customHeight="1" x14ac:dyDescent="0.3">
      <c r="A244" s="40"/>
      <c r="B244" s="29"/>
      <c r="C244" s="29"/>
      <c r="D244" s="29"/>
      <c r="E244" s="29"/>
      <c r="F244" s="29"/>
      <c r="G244" s="29"/>
      <c r="H244" s="29"/>
      <c r="I244" s="29"/>
      <c r="J244" s="29"/>
      <c r="K244" s="29"/>
      <c r="L244" s="29"/>
    </row>
    <row r="245" spans="1:12" ht="14.25" customHeight="1" x14ac:dyDescent="0.3">
      <c r="A245" s="40"/>
      <c r="B245" s="29"/>
      <c r="C245" s="29"/>
      <c r="D245" s="29"/>
      <c r="E245" s="29"/>
      <c r="F245" s="29"/>
      <c r="G245" s="29"/>
      <c r="H245" s="29"/>
      <c r="I245" s="29"/>
      <c r="J245" s="29"/>
      <c r="K245" s="29"/>
      <c r="L245" s="29"/>
    </row>
    <row r="246" spans="1:12" ht="14.25" customHeight="1" x14ac:dyDescent="0.3">
      <c r="A246" s="40"/>
      <c r="B246" s="29"/>
      <c r="C246" s="29"/>
      <c r="D246" s="29"/>
      <c r="E246" s="29"/>
      <c r="F246" s="29"/>
      <c r="G246" s="29"/>
      <c r="H246" s="29"/>
      <c r="I246" s="29"/>
      <c r="J246" s="29"/>
      <c r="K246" s="29"/>
      <c r="L246" s="29"/>
    </row>
    <row r="247" spans="1:12" ht="14.25" customHeight="1" x14ac:dyDescent="0.3">
      <c r="A247" s="40"/>
      <c r="B247" s="29"/>
      <c r="C247" s="29"/>
      <c r="D247" s="29"/>
      <c r="E247" s="29"/>
      <c r="F247" s="29"/>
      <c r="G247" s="29"/>
      <c r="H247" s="29"/>
      <c r="I247" s="29"/>
      <c r="J247" s="29"/>
      <c r="K247" s="29"/>
      <c r="L247" s="29"/>
    </row>
    <row r="248" spans="1:12" ht="14.25" customHeight="1" x14ac:dyDescent="0.3">
      <c r="A248" s="40"/>
      <c r="B248" s="29"/>
      <c r="C248" s="29"/>
      <c r="D248" s="29"/>
      <c r="E248" s="29"/>
      <c r="F248" s="29"/>
      <c r="G248" s="29"/>
      <c r="H248" s="29"/>
      <c r="I248" s="29"/>
      <c r="J248" s="29"/>
      <c r="K248" s="29"/>
      <c r="L248" s="29"/>
    </row>
    <row r="249" spans="1:12" ht="14.25" customHeight="1" x14ac:dyDescent="0.3">
      <c r="A249" s="40"/>
      <c r="B249" s="29"/>
      <c r="C249" s="29"/>
      <c r="D249" s="29"/>
      <c r="E249" s="29"/>
      <c r="F249" s="29"/>
      <c r="G249" s="29"/>
      <c r="H249" s="29"/>
      <c r="I249" s="29"/>
      <c r="J249" s="29"/>
      <c r="K249" s="29"/>
      <c r="L249" s="29"/>
    </row>
    <row r="250" spans="1:12" ht="14.25" customHeight="1" x14ac:dyDescent="0.3">
      <c r="A250" s="40"/>
      <c r="B250" s="29"/>
      <c r="C250" s="29"/>
      <c r="D250" s="29"/>
      <c r="E250" s="29"/>
      <c r="F250" s="29"/>
      <c r="G250" s="29"/>
      <c r="H250" s="29"/>
      <c r="I250" s="29"/>
      <c r="J250" s="29"/>
      <c r="K250" s="29"/>
      <c r="L250" s="29"/>
    </row>
    <row r="251" spans="1:12" ht="14.25" customHeight="1" x14ac:dyDescent="0.3">
      <c r="A251" s="40"/>
      <c r="B251" s="29"/>
      <c r="C251" s="29"/>
      <c r="D251" s="29"/>
      <c r="E251" s="29"/>
      <c r="F251" s="29"/>
      <c r="G251" s="29"/>
      <c r="H251" s="29"/>
      <c r="I251" s="29"/>
      <c r="J251" s="29"/>
      <c r="K251" s="29"/>
      <c r="L251" s="29"/>
    </row>
    <row r="252" spans="1:12" ht="14.25" customHeight="1" x14ac:dyDescent="0.3">
      <c r="A252" s="40"/>
      <c r="B252" s="29"/>
      <c r="C252" s="29"/>
      <c r="D252" s="29"/>
      <c r="E252" s="29"/>
      <c r="F252" s="29"/>
      <c r="G252" s="29"/>
      <c r="H252" s="29"/>
      <c r="I252" s="29"/>
      <c r="J252" s="29"/>
      <c r="K252" s="29"/>
      <c r="L252" s="29"/>
    </row>
    <row r="253" spans="1:12" ht="14.25" customHeight="1" x14ac:dyDescent="0.3">
      <c r="A253" s="40"/>
      <c r="B253" s="29"/>
      <c r="C253" s="29"/>
      <c r="D253" s="29"/>
      <c r="E253" s="29"/>
      <c r="F253" s="29"/>
      <c r="G253" s="29"/>
      <c r="H253" s="29"/>
      <c r="I253" s="29"/>
      <c r="J253" s="29"/>
      <c r="K253" s="29"/>
      <c r="L253" s="29"/>
    </row>
    <row r="254" spans="1:12" ht="14.25" customHeight="1" x14ac:dyDescent="0.3">
      <c r="A254" s="40"/>
      <c r="B254" s="29"/>
      <c r="C254" s="29"/>
      <c r="D254" s="29"/>
      <c r="E254" s="29"/>
      <c r="F254" s="29"/>
      <c r="G254" s="29"/>
      <c r="H254" s="29"/>
      <c r="I254" s="29"/>
      <c r="J254" s="29"/>
      <c r="K254" s="29"/>
      <c r="L254" s="29"/>
    </row>
    <row r="255" spans="1:12" ht="14.25" customHeight="1" x14ac:dyDescent="0.3">
      <c r="A255" s="40"/>
      <c r="B255" s="29"/>
      <c r="C255" s="29"/>
      <c r="D255" s="29"/>
      <c r="E255" s="29"/>
      <c r="F255" s="29"/>
      <c r="G255" s="29"/>
      <c r="H255" s="29"/>
      <c r="I255" s="29"/>
      <c r="J255" s="29"/>
      <c r="K255" s="29"/>
      <c r="L255" s="29"/>
    </row>
    <row r="256" spans="1:12" ht="14.25" customHeight="1" x14ac:dyDescent="0.3">
      <c r="A256" s="40"/>
      <c r="B256" s="29"/>
      <c r="C256" s="29"/>
      <c r="D256" s="29"/>
      <c r="E256" s="29"/>
      <c r="F256" s="29"/>
      <c r="G256" s="29"/>
      <c r="H256" s="29"/>
      <c r="I256" s="29"/>
      <c r="J256" s="29"/>
      <c r="K256" s="29"/>
      <c r="L256" s="29"/>
    </row>
    <row r="257" spans="1:12" ht="14.25" customHeight="1" x14ac:dyDescent="0.3">
      <c r="A257" s="40"/>
      <c r="B257" s="29"/>
      <c r="C257" s="29"/>
      <c r="D257" s="29"/>
      <c r="E257" s="29"/>
      <c r="F257" s="29"/>
      <c r="G257" s="29"/>
      <c r="H257" s="29"/>
      <c r="I257" s="29"/>
      <c r="J257" s="29"/>
      <c r="K257" s="29"/>
      <c r="L257" s="29"/>
    </row>
    <row r="258" spans="1:12" ht="14.25" customHeight="1" x14ac:dyDescent="0.3">
      <c r="A258" s="40"/>
      <c r="B258" s="29"/>
      <c r="C258" s="29"/>
      <c r="D258" s="29"/>
      <c r="E258" s="29"/>
      <c r="F258" s="29"/>
      <c r="G258" s="29"/>
      <c r="H258" s="29"/>
      <c r="I258" s="29"/>
      <c r="J258" s="29"/>
      <c r="K258" s="29"/>
      <c r="L258" s="29"/>
    </row>
    <row r="259" spans="1:12" ht="14.25" customHeight="1" x14ac:dyDescent="0.3">
      <c r="A259" s="40"/>
      <c r="B259" s="29"/>
      <c r="C259" s="29"/>
      <c r="D259" s="29"/>
      <c r="E259" s="29"/>
      <c r="F259" s="29"/>
      <c r="G259" s="29"/>
      <c r="H259" s="29"/>
      <c r="I259" s="29"/>
      <c r="J259" s="29"/>
      <c r="K259" s="29"/>
      <c r="L259" s="29"/>
    </row>
    <row r="260" spans="1:12" ht="14.25" customHeight="1" x14ac:dyDescent="0.3">
      <c r="A260" s="40"/>
      <c r="B260" s="29"/>
      <c r="C260" s="29"/>
      <c r="D260" s="29"/>
      <c r="E260" s="29"/>
      <c r="F260" s="29"/>
      <c r="G260" s="29"/>
      <c r="H260" s="29"/>
      <c r="I260" s="29"/>
      <c r="J260" s="29"/>
      <c r="K260" s="29"/>
      <c r="L260" s="29"/>
    </row>
    <row r="261" spans="1:12" ht="14.25" customHeight="1" x14ac:dyDescent="0.3">
      <c r="A261" s="40"/>
      <c r="B261" s="29"/>
      <c r="C261" s="29"/>
      <c r="D261" s="29"/>
      <c r="E261" s="29"/>
      <c r="F261" s="29"/>
      <c r="G261" s="29"/>
      <c r="H261" s="29"/>
      <c r="I261" s="29"/>
      <c r="J261" s="29"/>
      <c r="K261" s="29"/>
      <c r="L261" s="29"/>
    </row>
    <row r="262" spans="1:12" ht="14.25" customHeight="1" x14ac:dyDescent="0.3">
      <c r="A262" s="40"/>
      <c r="B262" s="29"/>
      <c r="C262" s="29"/>
      <c r="D262" s="29"/>
      <c r="E262" s="29"/>
      <c r="F262" s="29"/>
      <c r="G262" s="29"/>
      <c r="H262" s="29"/>
      <c r="I262" s="29"/>
      <c r="J262" s="29"/>
      <c r="K262" s="29"/>
      <c r="L262" s="29"/>
    </row>
    <row r="263" spans="1:12" ht="14.25" customHeight="1" x14ac:dyDescent="0.3">
      <c r="A263" s="40"/>
      <c r="B263" s="29"/>
      <c r="C263" s="29"/>
      <c r="D263" s="29"/>
      <c r="E263" s="29"/>
      <c r="F263" s="29"/>
      <c r="G263" s="29"/>
      <c r="H263" s="29"/>
      <c r="I263" s="29"/>
      <c r="J263" s="29"/>
      <c r="K263" s="29"/>
      <c r="L263" s="29"/>
    </row>
    <row r="264" spans="1:12" ht="14.25" customHeight="1" x14ac:dyDescent="0.3">
      <c r="A264" s="40"/>
      <c r="B264" s="29"/>
      <c r="C264" s="29"/>
      <c r="D264" s="29"/>
      <c r="E264" s="29"/>
      <c r="F264" s="29"/>
      <c r="G264" s="29"/>
      <c r="H264" s="29"/>
      <c r="I264" s="29"/>
      <c r="J264" s="29"/>
      <c r="K264" s="29"/>
      <c r="L264" s="29"/>
    </row>
    <row r="265" spans="1:12" ht="14.25" customHeight="1" x14ac:dyDescent="0.3">
      <c r="A265" s="40"/>
      <c r="B265" s="29"/>
      <c r="C265" s="29"/>
      <c r="D265" s="29"/>
      <c r="E265" s="29"/>
      <c r="F265" s="29"/>
      <c r="G265" s="29"/>
      <c r="H265" s="29"/>
      <c r="I265" s="29"/>
      <c r="J265" s="29"/>
      <c r="K265" s="29"/>
      <c r="L265" s="29"/>
    </row>
    <row r="266" spans="1:12" ht="14.25" customHeight="1" x14ac:dyDescent="0.3">
      <c r="A266" s="40"/>
      <c r="B266" s="29"/>
      <c r="C266" s="29"/>
      <c r="D266" s="29"/>
      <c r="E266" s="29"/>
      <c r="F266" s="29"/>
      <c r="G266" s="29"/>
      <c r="H266" s="29"/>
      <c r="I266" s="29"/>
      <c r="J266" s="29"/>
      <c r="K266" s="29"/>
      <c r="L266" s="29"/>
    </row>
    <row r="267" spans="1:12" ht="14.25" customHeight="1" x14ac:dyDescent="0.3">
      <c r="A267" s="40"/>
      <c r="B267" s="29"/>
      <c r="C267" s="29"/>
      <c r="D267" s="29"/>
      <c r="E267" s="29"/>
      <c r="F267" s="29"/>
      <c r="G267" s="29"/>
      <c r="H267" s="29"/>
      <c r="I267" s="29"/>
      <c r="J267" s="29"/>
      <c r="K267" s="29"/>
      <c r="L267" s="29"/>
    </row>
    <row r="268" spans="1:12" ht="14.25" customHeight="1" x14ac:dyDescent="0.3">
      <c r="A268" s="40"/>
      <c r="B268" s="29"/>
      <c r="C268" s="29"/>
      <c r="D268" s="29"/>
      <c r="E268" s="29"/>
      <c r="F268" s="29"/>
      <c r="G268" s="29"/>
      <c r="H268" s="29"/>
      <c r="I268" s="29"/>
      <c r="J268" s="29"/>
      <c r="K268" s="29"/>
      <c r="L268" s="29"/>
    </row>
    <row r="269" spans="1:12" ht="14.25" customHeight="1" x14ac:dyDescent="0.3">
      <c r="A269" s="40"/>
      <c r="B269" s="29"/>
      <c r="C269" s="29"/>
      <c r="D269" s="29"/>
      <c r="E269" s="29"/>
      <c r="F269" s="29"/>
      <c r="G269" s="29"/>
      <c r="H269" s="29"/>
      <c r="I269" s="29"/>
      <c r="J269" s="29"/>
      <c r="K269" s="29"/>
      <c r="L269" s="29"/>
    </row>
    <row r="270" spans="1:12" ht="14.25" customHeight="1" x14ac:dyDescent="0.3">
      <c r="A270" s="40"/>
      <c r="B270" s="29"/>
      <c r="C270" s="29"/>
      <c r="D270" s="29"/>
      <c r="E270" s="29"/>
      <c r="F270" s="29"/>
      <c r="G270" s="29"/>
      <c r="H270" s="29"/>
      <c r="I270" s="29"/>
      <c r="J270" s="29"/>
      <c r="K270" s="29"/>
      <c r="L270" s="29"/>
    </row>
    <row r="271" spans="1:12" ht="14.25" customHeight="1" x14ac:dyDescent="0.3">
      <c r="A271" s="40"/>
      <c r="B271" s="29"/>
      <c r="C271" s="29"/>
      <c r="D271" s="29"/>
      <c r="E271" s="29"/>
      <c r="F271" s="29"/>
      <c r="G271" s="29"/>
      <c r="H271" s="29"/>
      <c r="I271" s="29"/>
      <c r="J271" s="29"/>
      <c r="K271" s="29"/>
      <c r="L271" s="29"/>
    </row>
    <row r="272" spans="1:12" ht="14.25" customHeight="1" x14ac:dyDescent="0.3">
      <c r="A272" s="40"/>
      <c r="B272" s="29"/>
      <c r="C272" s="29"/>
      <c r="D272" s="29"/>
      <c r="E272" s="29"/>
      <c r="F272" s="29"/>
      <c r="G272" s="29"/>
      <c r="H272" s="29"/>
      <c r="I272" s="29"/>
      <c r="J272" s="29"/>
      <c r="K272" s="29"/>
      <c r="L272" s="29"/>
    </row>
    <row r="273" spans="1:12" ht="14.25" customHeight="1" x14ac:dyDescent="0.3">
      <c r="A273" s="40"/>
      <c r="B273" s="29"/>
      <c r="C273" s="29"/>
      <c r="D273" s="29"/>
      <c r="E273" s="29"/>
      <c r="F273" s="29"/>
      <c r="G273" s="29"/>
      <c r="H273" s="29"/>
      <c r="I273" s="29"/>
      <c r="J273" s="29"/>
      <c r="K273" s="29"/>
      <c r="L273" s="29"/>
    </row>
    <row r="274" spans="1:12" ht="14.25" customHeight="1" x14ac:dyDescent="0.3">
      <c r="A274" s="40"/>
      <c r="B274" s="29"/>
      <c r="C274" s="29"/>
      <c r="D274" s="29"/>
      <c r="E274" s="29"/>
      <c r="F274" s="29"/>
      <c r="G274" s="29"/>
      <c r="H274" s="29"/>
      <c r="I274" s="29"/>
      <c r="J274" s="29"/>
      <c r="K274" s="29"/>
      <c r="L274" s="29"/>
    </row>
    <row r="275" spans="1:12" ht="14.25" customHeight="1" x14ac:dyDescent="0.3">
      <c r="A275" s="40"/>
      <c r="B275" s="29"/>
      <c r="C275" s="29"/>
      <c r="D275" s="29"/>
      <c r="E275" s="29"/>
      <c r="F275" s="29"/>
      <c r="G275" s="29"/>
      <c r="H275" s="29"/>
      <c r="I275" s="29"/>
      <c r="J275" s="29"/>
      <c r="K275" s="29"/>
      <c r="L275" s="29"/>
    </row>
    <row r="276" spans="1:12" ht="14.25" customHeight="1" x14ac:dyDescent="0.3">
      <c r="A276" s="40"/>
      <c r="B276" s="29"/>
      <c r="C276" s="29"/>
      <c r="D276" s="29"/>
      <c r="E276" s="29"/>
      <c r="F276" s="29"/>
      <c r="G276" s="29"/>
      <c r="H276" s="29"/>
      <c r="I276" s="29"/>
      <c r="J276" s="29"/>
      <c r="K276" s="29"/>
      <c r="L276" s="29"/>
    </row>
    <row r="277" spans="1:12" ht="14.25" customHeight="1" x14ac:dyDescent="0.3">
      <c r="A277" s="40"/>
      <c r="B277" s="29"/>
      <c r="C277" s="29"/>
      <c r="D277" s="29"/>
      <c r="E277" s="29"/>
      <c r="F277" s="29"/>
      <c r="G277" s="29"/>
      <c r="H277" s="29"/>
      <c r="I277" s="29"/>
      <c r="J277" s="29"/>
      <c r="K277" s="29"/>
      <c r="L277" s="29"/>
    </row>
    <row r="278" spans="1:12" ht="14.25" customHeight="1" x14ac:dyDescent="0.3">
      <c r="A278" s="40"/>
      <c r="B278" s="29"/>
      <c r="C278" s="29"/>
      <c r="D278" s="29"/>
      <c r="E278" s="29"/>
      <c r="F278" s="29"/>
      <c r="G278" s="29"/>
      <c r="H278" s="29"/>
      <c r="I278" s="29"/>
      <c r="J278" s="29"/>
      <c r="K278" s="29"/>
      <c r="L278" s="29"/>
    </row>
    <row r="279" spans="1:12" ht="14.25" customHeight="1" x14ac:dyDescent="0.3">
      <c r="A279" s="40"/>
      <c r="B279" s="29"/>
      <c r="C279" s="29"/>
      <c r="D279" s="29"/>
      <c r="E279" s="29"/>
      <c r="F279" s="29"/>
      <c r="G279" s="29"/>
      <c r="H279" s="29"/>
      <c r="I279" s="29"/>
      <c r="J279" s="29"/>
      <c r="K279" s="29"/>
      <c r="L279" s="29"/>
    </row>
    <row r="280" spans="1:12" ht="14.25" customHeight="1" x14ac:dyDescent="0.3">
      <c r="A280" s="40"/>
      <c r="B280" s="29"/>
      <c r="C280" s="29"/>
      <c r="D280" s="29"/>
      <c r="E280" s="29"/>
      <c r="F280" s="29"/>
      <c r="G280" s="29"/>
      <c r="H280" s="29"/>
      <c r="I280" s="29"/>
      <c r="J280" s="29"/>
      <c r="K280" s="29"/>
      <c r="L280" s="29"/>
    </row>
    <row r="281" spans="1:12" ht="14.25" customHeight="1" x14ac:dyDescent="0.3">
      <c r="A281" s="40"/>
      <c r="B281" s="29"/>
      <c r="C281" s="29"/>
      <c r="D281" s="29"/>
      <c r="E281" s="29"/>
      <c r="F281" s="29"/>
      <c r="G281" s="29"/>
      <c r="H281" s="29"/>
      <c r="I281" s="29"/>
      <c r="J281" s="29"/>
      <c r="K281" s="29"/>
      <c r="L281" s="29"/>
    </row>
    <row r="282" spans="1:12" ht="14.25" customHeight="1" x14ac:dyDescent="0.3">
      <c r="A282" s="40"/>
      <c r="B282" s="29"/>
      <c r="C282" s="29"/>
      <c r="D282" s="29"/>
      <c r="E282" s="29"/>
      <c r="F282" s="29"/>
      <c r="G282" s="29"/>
      <c r="H282" s="29"/>
      <c r="I282" s="29"/>
      <c r="J282" s="29"/>
      <c r="K282" s="29"/>
      <c r="L282" s="29"/>
    </row>
    <row r="283" spans="1:12" ht="14.25" customHeight="1" x14ac:dyDescent="0.3">
      <c r="A283" s="40"/>
      <c r="B283" s="29"/>
      <c r="C283" s="29"/>
      <c r="D283" s="29"/>
      <c r="E283" s="29"/>
      <c r="F283" s="29"/>
      <c r="G283" s="29"/>
      <c r="H283" s="29"/>
      <c r="I283" s="29"/>
      <c r="J283" s="29"/>
      <c r="K283" s="29"/>
      <c r="L283" s="29"/>
    </row>
    <row r="284" spans="1:12" ht="14.25" customHeight="1" x14ac:dyDescent="0.3">
      <c r="A284" s="40"/>
      <c r="B284" s="29"/>
      <c r="C284" s="29"/>
      <c r="D284" s="29"/>
      <c r="E284" s="29"/>
      <c r="F284" s="29"/>
      <c r="G284" s="29"/>
      <c r="H284" s="29"/>
      <c r="I284" s="29"/>
      <c r="J284" s="29"/>
      <c r="K284" s="29"/>
      <c r="L284" s="29"/>
    </row>
    <row r="285" spans="1:12" ht="14.25" customHeight="1" x14ac:dyDescent="0.3">
      <c r="A285" s="40"/>
      <c r="B285" s="29"/>
      <c r="C285" s="29"/>
      <c r="D285" s="29"/>
      <c r="E285" s="29"/>
      <c r="F285" s="29"/>
      <c r="G285" s="29"/>
      <c r="H285" s="29"/>
      <c r="I285" s="29"/>
      <c r="J285" s="29"/>
      <c r="K285" s="29"/>
      <c r="L285" s="29"/>
    </row>
    <row r="286" spans="1:12" ht="14.25" customHeight="1" x14ac:dyDescent="0.3">
      <c r="A286" s="40"/>
      <c r="B286" s="29"/>
      <c r="C286" s="29"/>
      <c r="D286" s="29"/>
      <c r="E286" s="29"/>
      <c r="F286" s="29"/>
      <c r="G286" s="29"/>
      <c r="H286" s="29"/>
      <c r="I286" s="29"/>
      <c r="J286" s="29"/>
      <c r="K286" s="29"/>
      <c r="L286" s="29"/>
    </row>
    <row r="287" spans="1:12" ht="14.25" customHeight="1" x14ac:dyDescent="0.3">
      <c r="A287" s="40"/>
      <c r="B287" s="29"/>
      <c r="C287" s="29"/>
      <c r="D287" s="29"/>
      <c r="E287" s="29"/>
      <c r="F287" s="29"/>
      <c r="G287" s="29"/>
      <c r="H287" s="29"/>
      <c r="I287" s="29"/>
      <c r="J287" s="29"/>
      <c r="K287" s="29"/>
      <c r="L287" s="29"/>
    </row>
    <row r="288" spans="1:12" ht="14.25" customHeight="1" x14ac:dyDescent="0.3">
      <c r="A288" s="40"/>
      <c r="B288" s="29"/>
      <c r="C288" s="29"/>
      <c r="D288" s="29"/>
      <c r="E288" s="29"/>
      <c r="F288" s="29"/>
      <c r="G288" s="29"/>
      <c r="H288" s="29"/>
      <c r="I288" s="29"/>
      <c r="J288" s="29"/>
      <c r="K288" s="29"/>
      <c r="L288" s="29"/>
    </row>
    <row r="289" spans="1:12" ht="14.25" customHeight="1" x14ac:dyDescent="0.3">
      <c r="A289" s="40"/>
      <c r="B289" s="29"/>
      <c r="C289" s="29"/>
      <c r="D289" s="29"/>
      <c r="E289" s="29"/>
      <c r="F289" s="29"/>
      <c r="G289" s="29"/>
      <c r="H289" s="29"/>
      <c r="I289" s="29"/>
      <c r="J289" s="29"/>
      <c r="K289" s="29"/>
      <c r="L289" s="29"/>
    </row>
    <row r="290" spans="1:12" ht="14.25" customHeight="1" x14ac:dyDescent="0.3">
      <c r="A290" s="40"/>
      <c r="B290" s="29"/>
      <c r="C290" s="29"/>
      <c r="D290" s="29"/>
      <c r="E290" s="29"/>
      <c r="F290" s="29"/>
      <c r="G290" s="29"/>
      <c r="H290" s="29"/>
      <c r="I290" s="29"/>
      <c r="J290" s="29"/>
      <c r="K290" s="29"/>
      <c r="L290" s="29"/>
    </row>
    <row r="291" spans="1:12" ht="14.25" customHeight="1" x14ac:dyDescent="0.3">
      <c r="A291" s="40"/>
      <c r="B291" s="29"/>
      <c r="C291" s="29"/>
      <c r="D291" s="29"/>
      <c r="E291" s="29"/>
      <c r="F291" s="29"/>
      <c r="G291" s="29"/>
      <c r="H291" s="29"/>
      <c r="I291" s="29"/>
      <c r="J291" s="29"/>
      <c r="K291" s="29"/>
      <c r="L291" s="29"/>
    </row>
    <row r="292" spans="1:12" ht="14.25" customHeight="1" x14ac:dyDescent="0.3">
      <c r="A292" s="40"/>
      <c r="B292" s="29"/>
      <c r="C292" s="29"/>
      <c r="D292" s="29"/>
      <c r="E292" s="29"/>
      <c r="F292" s="29"/>
      <c r="G292" s="29"/>
      <c r="H292" s="29"/>
      <c r="I292" s="29"/>
      <c r="J292" s="29"/>
      <c r="K292" s="29"/>
      <c r="L292" s="29"/>
    </row>
    <row r="293" spans="1:12" ht="14.25" customHeight="1" x14ac:dyDescent="0.3">
      <c r="A293" s="40"/>
      <c r="B293" s="29"/>
      <c r="C293" s="29"/>
      <c r="D293" s="29"/>
      <c r="E293" s="29"/>
      <c r="F293" s="29"/>
      <c r="G293" s="29"/>
      <c r="H293" s="29"/>
      <c r="I293" s="29"/>
      <c r="J293" s="29"/>
      <c r="K293" s="29"/>
      <c r="L293" s="29"/>
    </row>
    <row r="294" spans="1:12" ht="14.25" customHeight="1" x14ac:dyDescent="0.3">
      <c r="A294" s="40"/>
      <c r="B294" s="29"/>
      <c r="C294" s="29"/>
      <c r="D294" s="29"/>
      <c r="E294" s="29"/>
      <c r="F294" s="29"/>
      <c r="G294" s="29"/>
      <c r="H294" s="29"/>
      <c r="I294" s="29"/>
      <c r="J294" s="29"/>
      <c r="K294" s="29"/>
      <c r="L294" s="29"/>
    </row>
    <row r="295" spans="1:12" ht="14.25" customHeight="1" x14ac:dyDescent="0.3">
      <c r="A295" s="40"/>
      <c r="B295" s="29"/>
      <c r="C295" s="29"/>
      <c r="D295" s="29"/>
      <c r="E295" s="29"/>
      <c r="F295" s="29"/>
      <c r="G295" s="29"/>
      <c r="H295" s="29"/>
      <c r="I295" s="29"/>
      <c r="J295" s="29"/>
      <c r="K295" s="29"/>
      <c r="L295" s="29"/>
    </row>
    <row r="296" spans="1:12" ht="14.25" customHeight="1" x14ac:dyDescent="0.3">
      <c r="A296" s="40"/>
      <c r="B296" s="29"/>
      <c r="C296" s="29"/>
      <c r="D296" s="29"/>
      <c r="E296" s="29"/>
      <c r="F296" s="29"/>
      <c r="G296" s="29"/>
      <c r="H296" s="29"/>
      <c r="I296" s="29"/>
      <c r="J296" s="29"/>
      <c r="K296" s="29"/>
      <c r="L296" s="29"/>
    </row>
    <row r="297" spans="1:12" ht="14.25" customHeight="1" x14ac:dyDescent="0.3">
      <c r="A297" s="40"/>
      <c r="B297" s="29"/>
      <c r="C297" s="29"/>
      <c r="D297" s="29"/>
      <c r="E297" s="29"/>
      <c r="F297" s="29"/>
      <c r="G297" s="29"/>
      <c r="H297" s="29"/>
      <c r="I297" s="29"/>
      <c r="J297" s="29"/>
      <c r="K297" s="29"/>
      <c r="L297" s="29"/>
    </row>
    <row r="298" spans="1:12" ht="14.25" customHeight="1" x14ac:dyDescent="0.3">
      <c r="A298" s="40"/>
      <c r="B298" s="29"/>
      <c r="C298" s="29"/>
      <c r="D298" s="29"/>
      <c r="E298" s="29"/>
      <c r="F298" s="29"/>
      <c r="G298" s="29"/>
      <c r="H298" s="29"/>
      <c r="I298" s="29"/>
      <c r="J298" s="29"/>
      <c r="K298" s="29"/>
      <c r="L298" s="29"/>
    </row>
    <row r="299" spans="1:12" ht="14.25" customHeight="1" x14ac:dyDescent="0.3">
      <c r="A299" s="40"/>
      <c r="B299" s="29"/>
      <c r="C299" s="29"/>
      <c r="D299" s="29"/>
      <c r="E299" s="29"/>
      <c r="F299" s="29"/>
      <c r="G299" s="29"/>
      <c r="H299" s="29"/>
      <c r="I299" s="29"/>
      <c r="J299" s="29"/>
      <c r="K299" s="29"/>
      <c r="L299" s="29"/>
    </row>
    <row r="300" spans="1:12" ht="14.25" customHeight="1" x14ac:dyDescent="0.3">
      <c r="A300" s="40"/>
      <c r="B300" s="29"/>
      <c r="C300" s="29"/>
      <c r="D300" s="29"/>
      <c r="E300" s="29"/>
      <c r="F300" s="29"/>
      <c r="G300" s="29"/>
      <c r="H300" s="29"/>
      <c r="I300" s="29"/>
      <c r="J300" s="29"/>
      <c r="K300" s="29"/>
      <c r="L300" s="29"/>
    </row>
    <row r="301" spans="1:12" ht="14.25" customHeight="1" x14ac:dyDescent="0.3">
      <c r="A301" s="40"/>
      <c r="B301" s="29"/>
      <c r="C301" s="29"/>
      <c r="D301" s="29"/>
      <c r="E301" s="29"/>
      <c r="F301" s="29"/>
      <c r="G301" s="29"/>
      <c r="H301" s="29"/>
      <c r="I301" s="29"/>
      <c r="J301" s="29"/>
      <c r="K301" s="29"/>
      <c r="L301" s="29"/>
    </row>
    <row r="302" spans="1:12" ht="14.25" customHeight="1" x14ac:dyDescent="0.3">
      <c r="A302" s="40"/>
      <c r="B302" s="29"/>
      <c r="C302" s="29"/>
      <c r="D302" s="29"/>
      <c r="E302" s="29"/>
      <c r="F302" s="29"/>
      <c r="G302" s="29"/>
      <c r="H302" s="29"/>
      <c r="I302" s="29"/>
      <c r="J302" s="29"/>
      <c r="K302" s="29"/>
      <c r="L302" s="29"/>
    </row>
    <row r="303" spans="1:12" ht="14.25" customHeight="1" x14ac:dyDescent="0.3">
      <c r="A303" s="40"/>
      <c r="B303" s="29"/>
      <c r="C303" s="29"/>
      <c r="D303" s="29"/>
      <c r="E303" s="29"/>
      <c r="F303" s="29"/>
      <c r="G303" s="29"/>
      <c r="H303" s="29"/>
      <c r="I303" s="29"/>
      <c r="J303" s="29"/>
      <c r="K303" s="29"/>
      <c r="L303" s="29"/>
    </row>
    <row r="304" spans="1:12" ht="14.25" customHeight="1" x14ac:dyDescent="0.3">
      <c r="A304" s="40"/>
      <c r="B304" s="29"/>
      <c r="C304" s="29"/>
      <c r="D304" s="29"/>
      <c r="E304" s="29"/>
      <c r="F304" s="29"/>
      <c r="G304" s="29"/>
      <c r="H304" s="29"/>
      <c r="I304" s="29"/>
      <c r="J304" s="29"/>
      <c r="K304" s="29"/>
      <c r="L304" s="29"/>
    </row>
    <row r="305" spans="1:12" ht="14.25" customHeight="1" x14ac:dyDescent="0.3">
      <c r="A305" s="40"/>
      <c r="B305" s="29"/>
      <c r="C305" s="29"/>
      <c r="D305" s="29"/>
      <c r="E305" s="29"/>
      <c r="F305" s="29"/>
      <c r="G305" s="29"/>
      <c r="H305" s="29"/>
      <c r="I305" s="29"/>
      <c r="J305" s="29"/>
      <c r="K305" s="29"/>
      <c r="L305" s="29"/>
    </row>
    <row r="306" spans="1:12" ht="14.25" customHeight="1" x14ac:dyDescent="0.3">
      <c r="A306" s="40"/>
      <c r="B306" s="29"/>
      <c r="C306" s="29"/>
      <c r="D306" s="29"/>
      <c r="E306" s="29"/>
      <c r="F306" s="29"/>
      <c r="G306" s="29"/>
      <c r="H306" s="29"/>
      <c r="I306" s="29"/>
      <c r="J306" s="29"/>
      <c r="K306" s="29"/>
      <c r="L306" s="29"/>
    </row>
    <row r="307" spans="1:12" ht="14.25" customHeight="1" x14ac:dyDescent="0.3">
      <c r="A307" s="40"/>
      <c r="B307" s="29"/>
      <c r="C307" s="29"/>
      <c r="D307" s="29"/>
      <c r="E307" s="29"/>
      <c r="F307" s="29"/>
      <c r="G307" s="29"/>
      <c r="H307" s="29"/>
      <c r="I307" s="29"/>
      <c r="J307" s="29"/>
      <c r="K307" s="29"/>
      <c r="L307" s="29"/>
    </row>
    <row r="308" spans="1:12" ht="14.25" customHeight="1" x14ac:dyDescent="0.3">
      <c r="A308" s="40"/>
      <c r="B308" s="29"/>
      <c r="C308" s="29"/>
      <c r="D308" s="29"/>
      <c r="E308" s="29"/>
      <c r="F308" s="29"/>
      <c r="G308" s="29"/>
      <c r="H308" s="29"/>
      <c r="I308" s="29"/>
      <c r="J308" s="29"/>
      <c r="K308" s="29"/>
      <c r="L308" s="29"/>
    </row>
    <row r="309" spans="1:12" ht="14.25" customHeight="1" x14ac:dyDescent="0.3">
      <c r="A309" s="40"/>
      <c r="B309" s="29"/>
      <c r="C309" s="29"/>
      <c r="D309" s="29"/>
      <c r="E309" s="29"/>
      <c r="F309" s="29"/>
      <c r="G309" s="29"/>
      <c r="H309" s="29"/>
      <c r="I309" s="29"/>
      <c r="J309" s="29"/>
      <c r="K309" s="29"/>
      <c r="L309" s="29"/>
    </row>
    <row r="310" spans="1:12" ht="14.25" customHeight="1" x14ac:dyDescent="0.3">
      <c r="A310" s="40"/>
      <c r="B310" s="29"/>
      <c r="C310" s="29"/>
      <c r="D310" s="29"/>
      <c r="E310" s="29"/>
      <c r="F310" s="29"/>
      <c r="G310" s="29"/>
      <c r="H310" s="29"/>
      <c r="I310" s="29"/>
      <c r="J310" s="29"/>
      <c r="K310" s="29"/>
      <c r="L310" s="29"/>
    </row>
    <row r="311" spans="1:12" ht="14.25" customHeight="1" x14ac:dyDescent="0.3">
      <c r="A311" s="40"/>
      <c r="B311" s="29"/>
      <c r="C311" s="29"/>
      <c r="D311" s="29"/>
      <c r="E311" s="29"/>
      <c r="F311" s="29"/>
      <c r="G311" s="29"/>
      <c r="H311" s="29"/>
      <c r="I311" s="29"/>
      <c r="J311" s="29"/>
      <c r="K311" s="29"/>
      <c r="L311" s="29"/>
    </row>
    <row r="312" spans="1:12" ht="14.25" customHeight="1" x14ac:dyDescent="0.3">
      <c r="A312" s="40"/>
      <c r="B312" s="29"/>
      <c r="C312" s="29"/>
      <c r="D312" s="29"/>
      <c r="E312" s="29"/>
      <c r="F312" s="29"/>
      <c r="G312" s="29"/>
      <c r="H312" s="29"/>
      <c r="I312" s="29"/>
      <c r="J312" s="29"/>
      <c r="K312" s="29"/>
      <c r="L312" s="29"/>
    </row>
    <row r="313" spans="1:12" ht="14.25" customHeight="1" x14ac:dyDescent="0.3">
      <c r="A313" s="40"/>
      <c r="B313" s="29"/>
      <c r="C313" s="29"/>
      <c r="D313" s="29"/>
      <c r="E313" s="29"/>
      <c r="F313" s="29"/>
      <c r="G313" s="29"/>
      <c r="H313" s="29"/>
      <c r="I313" s="29"/>
      <c r="J313" s="29"/>
      <c r="K313" s="29"/>
      <c r="L313" s="29"/>
    </row>
    <row r="314" spans="1:12" ht="14.25" customHeight="1" x14ac:dyDescent="0.3">
      <c r="A314" s="40"/>
      <c r="B314" s="29"/>
      <c r="C314" s="29"/>
      <c r="D314" s="29"/>
      <c r="E314" s="29"/>
      <c r="F314" s="29"/>
      <c r="G314" s="29"/>
      <c r="H314" s="29"/>
      <c r="I314" s="29"/>
      <c r="J314" s="29"/>
      <c r="K314" s="29"/>
      <c r="L314" s="29"/>
    </row>
    <row r="315" spans="1:12" ht="14.25" customHeight="1" x14ac:dyDescent="0.3">
      <c r="A315" s="40"/>
      <c r="B315" s="29"/>
      <c r="C315" s="29"/>
      <c r="D315" s="29"/>
      <c r="E315" s="29"/>
      <c r="F315" s="29"/>
      <c r="G315" s="29"/>
      <c r="H315" s="29"/>
      <c r="I315" s="29"/>
      <c r="J315" s="29"/>
      <c r="K315" s="29"/>
      <c r="L315" s="29"/>
    </row>
    <row r="316" spans="1:12" ht="14.25" customHeight="1" x14ac:dyDescent="0.3">
      <c r="A316" s="40"/>
      <c r="B316" s="29"/>
      <c r="C316" s="29"/>
      <c r="D316" s="29"/>
      <c r="E316" s="29"/>
      <c r="F316" s="29"/>
      <c r="G316" s="29"/>
      <c r="H316" s="29"/>
      <c r="I316" s="29"/>
      <c r="J316" s="29"/>
      <c r="K316" s="29"/>
      <c r="L316" s="29"/>
    </row>
    <row r="317" spans="1:12" ht="14.25" customHeight="1" x14ac:dyDescent="0.3">
      <c r="A317" s="40"/>
      <c r="B317" s="29"/>
      <c r="C317" s="29"/>
      <c r="D317" s="29"/>
      <c r="E317" s="29"/>
      <c r="F317" s="29"/>
      <c r="G317" s="29"/>
      <c r="H317" s="29"/>
      <c r="I317" s="29"/>
      <c r="J317" s="29"/>
      <c r="K317" s="29"/>
      <c r="L317" s="29"/>
    </row>
    <row r="318" spans="1:12" ht="14.25" customHeight="1" x14ac:dyDescent="0.3">
      <c r="A318" s="40"/>
      <c r="B318" s="29"/>
      <c r="C318" s="29"/>
      <c r="D318" s="29"/>
      <c r="E318" s="29"/>
      <c r="F318" s="29"/>
      <c r="G318" s="29"/>
      <c r="H318" s="29"/>
      <c r="I318" s="29"/>
      <c r="J318" s="29"/>
      <c r="K318" s="29"/>
      <c r="L318" s="29"/>
    </row>
    <row r="319" spans="1:12" ht="14.25" customHeight="1" x14ac:dyDescent="0.3">
      <c r="A319" s="40"/>
      <c r="B319" s="29"/>
      <c r="C319" s="29"/>
      <c r="D319" s="29"/>
      <c r="E319" s="29"/>
      <c r="F319" s="29"/>
      <c r="G319" s="29"/>
      <c r="H319" s="29"/>
      <c r="I319" s="29"/>
      <c r="J319" s="29"/>
      <c r="K319" s="29"/>
      <c r="L319" s="29"/>
    </row>
    <row r="320" spans="1:12" ht="14.25" customHeight="1" x14ac:dyDescent="0.3">
      <c r="A320" s="40"/>
      <c r="B320" s="29"/>
      <c r="C320" s="29"/>
      <c r="D320" s="29"/>
      <c r="E320" s="29"/>
      <c r="F320" s="29"/>
      <c r="G320" s="29"/>
      <c r="H320" s="29"/>
      <c r="I320" s="29"/>
      <c r="J320" s="29"/>
      <c r="K320" s="29"/>
      <c r="L320" s="29"/>
    </row>
    <row r="321" spans="1:12" ht="14.25" customHeight="1" x14ac:dyDescent="0.3">
      <c r="A321" s="40"/>
      <c r="B321" s="29"/>
      <c r="C321" s="29"/>
      <c r="D321" s="29"/>
      <c r="E321" s="29"/>
      <c r="F321" s="29"/>
      <c r="G321" s="29"/>
      <c r="H321" s="29"/>
      <c r="I321" s="29"/>
      <c r="J321" s="29"/>
      <c r="K321" s="29"/>
      <c r="L321" s="29"/>
    </row>
    <row r="322" spans="1:12" ht="14.25" customHeight="1" x14ac:dyDescent="0.3">
      <c r="A322" s="40"/>
      <c r="B322" s="29"/>
      <c r="C322" s="29"/>
      <c r="D322" s="29"/>
      <c r="E322" s="29"/>
      <c r="F322" s="29"/>
      <c r="G322" s="29"/>
      <c r="H322" s="29"/>
      <c r="I322" s="29"/>
      <c r="J322" s="29"/>
      <c r="K322" s="29"/>
      <c r="L322" s="29"/>
    </row>
    <row r="323" spans="1:12" ht="14.25" customHeight="1" x14ac:dyDescent="0.3">
      <c r="A323" s="40"/>
      <c r="B323" s="29"/>
      <c r="C323" s="29"/>
      <c r="D323" s="29"/>
      <c r="E323" s="29"/>
      <c r="F323" s="29"/>
      <c r="G323" s="29"/>
      <c r="H323" s="29"/>
      <c r="I323" s="29"/>
      <c r="J323" s="29"/>
      <c r="K323" s="29"/>
      <c r="L323" s="29"/>
    </row>
    <row r="324" spans="1:12" ht="14.25" customHeight="1" x14ac:dyDescent="0.3">
      <c r="A324" s="40"/>
      <c r="B324" s="29"/>
      <c r="C324" s="29"/>
      <c r="D324" s="29"/>
      <c r="E324" s="29"/>
      <c r="F324" s="29"/>
      <c r="G324" s="29"/>
      <c r="H324" s="29"/>
      <c r="I324" s="29"/>
      <c r="J324" s="29"/>
      <c r="K324" s="29"/>
      <c r="L324" s="29"/>
    </row>
    <row r="325" spans="1:12" ht="14.25" customHeight="1" x14ac:dyDescent="0.3">
      <c r="A325" s="40"/>
      <c r="B325" s="29"/>
      <c r="C325" s="29"/>
      <c r="D325" s="29"/>
      <c r="E325" s="29"/>
      <c r="F325" s="29"/>
      <c r="G325" s="29"/>
      <c r="H325" s="29"/>
      <c r="I325" s="29"/>
      <c r="J325" s="29"/>
      <c r="K325" s="29"/>
      <c r="L325" s="29"/>
    </row>
    <row r="326" spans="1:12" ht="14.25" customHeight="1" x14ac:dyDescent="0.3">
      <c r="A326" s="40"/>
      <c r="B326" s="29"/>
      <c r="C326" s="29"/>
      <c r="D326" s="29"/>
      <c r="E326" s="29"/>
      <c r="F326" s="29"/>
      <c r="G326" s="29"/>
      <c r="H326" s="29"/>
      <c r="I326" s="29"/>
      <c r="J326" s="29"/>
      <c r="K326" s="29"/>
      <c r="L326" s="29"/>
    </row>
    <row r="327" spans="1:12" ht="14.25" customHeight="1" x14ac:dyDescent="0.3">
      <c r="A327" s="40"/>
      <c r="B327" s="29"/>
      <c r="C327" s="29"/>
      <c r="D327" s="29"/>
      <c r="E327" s="29"/>
      <c r="F327" s="29"/>
      <c r="G327" s="29"/>
      <c r="H327" s="29"/>
      <c r="I327" s="29"/>
      <c r="J327" s="29"/>
      <c r="K327" s="29"/>
      <c r="L327" s="29"/>
    </row>
    <row r="328" spans="1:12" ht="14.25" customHeight="1" x14ac:dyDescent="0.3">
      <c r="A328" s="40"/>
      <c r="B328" s="29"/>
      <c r="C328" s="29"/>
      <c r="D328" s="29"/>
      <c r="E328" s="29"/>
      <c r="F328" s="29"/>
      <c r="G328" s="29"/>
      <c r="H328" s="29"/>
      <c r="I328" s="29"/>
      <c r="J328" s="29"/>
      <c r="K328" s="29"/>
      <c r="L328" s="29"/>
    </row>
    <row r="329" spans="1:12" ht="14.25" customHeight="1" x14ac:dyDescent="0.3">
      <c r="A329" s="40"/>
      <c r="B329" s="29"/>
      <c r="C329" s="29"/>
      <c r="D329" s="29"/>
      <c r="E329" s="29"/>
      <c r="F329" s="29"/>
      <c r="G329" s="29"/>
      <c r="H329" s="29"/>
      <c r="I329" s="29"/>
      <c r="J329" s="29"/>
      <c r="K329" s="29"/>
      <c r="L329" s="29"/>
    </row>
    <row r="330" spans="1:12" ht="14.25" customHeight="1" x14ac:dyDescent="0.3">
      <c r="A330" s="40"/>
      <c r="B330" s="29"/>
      <c r="C330" s="29"/>
      <c r="D330" s="29"/>
      <c r="E330" s="29"/>
      <c r="F330" s="29"/>
      <c r="G330" s="29"/>
      <c r="H330" s="29"/>
      <c r="I330" s="29"/>
      <c r="J330" s="29"/>
      <c r="K330" s="29"/>
      <c r="L330" s="29"/>
    </row>
    <row r="331" spans="1:12" ht="14.25" customHeight="1" x14ac:dyDescent="0.3">
      <c r="A331" s="40"/>
      <c r="B331" s="29"/>
      <c r="C331" s="29"/>
      <c r="D331" s="29"/>
      <c r="E331" s="29"/>
      <c r="F331" s="29"/>
      <c r="G331" s="29"/>
      <c r="H331" s="29"/>
      <c r="I331" s="29"/>
      <c r="J331" s="29"/>
      <c r="K331" s="29"/>
      <c r="L331" s="29"/>
    </row>
    <row r="332" spans="1:12" ht="14.25" customHeight="1" x14ac:dyDescent="0.3">
      <c r="A332" s="40"/>
      <c r="B332" s="29"/>
      <c r="C332" s="29"/>
      <c r="D332" s="29"/>
      <c r="E332" s="29"/>
      <c r="F332" s="29"/>
      <c r="G332" s="29"/>
      <c r="H332" s="29"/>
      <c r="I332" s="29"/>
      <c r="J332" s="29"/>
      <c r="K332" s="29"/>
      <c r="L332" s="29"/>
    </row>
    <row r="333" spans="1:12" ht="14.25" customHeight="1" x14ac:dyDescent="0.3">
      <c r="A333" s="40"/>
      <c r="B333" s="29"/>
      <c r="C333" s="29"/>
      <c r="D333" s="29"/>
      <c r="E333" s="29"/>
      <c r="F333" s="29"/>
      <c r="G333" s="29"/>
      <c r="H333" s="29"/>
      <c r="I333" s="29"/>
      <c r="J333" s="29"/>
      <c r="K333" s="29"/>
      <c r="L333" s="29"/>
    </row>
    <row r="334" spans="1:12" ht="14.25" customHeight="1" x14ac:dyDescent="0.3">
      <c r="A334" s="40"/>
      <c r="B334" s="29"/>
      <c r="C334" s="29"/>
      <c r="D334" s="29"/>
      <c r="E334" s="29"/>
      <c r="F334" s="29"/>
      <c r="G334" s="29"/>
      <c r="H334" s="29"/>
      <c r="I334" s="29"/>
      <c r="J334" s="29"/>
      <c r="K334" s="29"/>
      <c r="L334" s="29"/>
    </row>
    <row r="335" spans="1:12" ht="14.25" customHeight="1" x14ac:dyDescent="0.3">
      <c r="A335" s="40"/>
      <c r="B335" s="29"/>
      <c r="C335" s="29"/>
      <c r="D335" s="29"/>
      <c r="E335" s="29"/>
      <c r="F335" s="29"/>
      <c r="G335" s="29"/>
      <c r="H335" s="29"/>
      <c r="I335" s="29"/>
      <c r="J335" s="29"/>
      <c r="K335" s="29"/>
      <c r="L335" s="29"/>
    </row>
    <row r="336" spans="1:12" ht="14.25" customHeight="1" x14ac:dyDescent="0.3">
      <c r="A336" s="40"/>
      <c r="B336" s="29"/>
      <c r="C336" s="29"/>
      <c r="D336" s="29"/>
      <c r="E336" s="29"/>
      <c r="F336" s="29"/>
      <c r="G336" s="29"/>
      <c r="H336" s="29"/>
      <c r="I336" s="29"/>
      <c r="J336" s="29"/>
      <c r="K336" s="29"/>
      <c r="L336" s="29"/>
    </row>
    <row r="337" spans="1:12" ht="14.25" customHeight="1" x14ac:dyDescent="0.3">
      <c r="A337" s="40"/>
      <c r="B337" s="29"/>
      <c r="C337" s="29"/>
      <c r="D337" s="29"/>
      <c r="E337" s="29"/>
      <c r="F337" s="29"/>
      <c r="G337" s="29"/>
      <c r="H337" s="29"/>
      <c r="I337" s="29"/>
      <c r="J337" s="29"/>
      <c r="K337" s="29"/>
      <c r="L337" s="29"/>
    </row>
    <row r="338" spans="1:12" ht="14.25" customHeight="1" x14ac:dyDescent="0.3">
      <c r="A338" s="40"/>
      <c r="B338" s="29"/>
      <c r="C338" s="29"/>
      <c r="D338" s="29"/>
      <c r="E338" s="29"/>
      <c r="F338" s="29"/>
      <c r="G338" s="29"/>
      <c r="H338" s="29"/>
      <c r="I338" s="29"/>
      <c r="J338" s="29"/>
      <c r="K338" s="29"/>
      <c r="L338" s="29"/>
    </row>
    <row r="339" spans="1:12" ht="14.25" customHeight="1" x14ac:dyDescent="0.3">
      <c r="A339" s="40"/>
      <c r="B339" s="29"/>
      <c r="C339" s="29"/>
      <c r="D339" s="29"/>
      <c r="E339" s="29"/>
      <c r="F339" s="29"/>
      <c r="G339" s="29"/>
      <c r="H339" s="29"/>
      <c r="I339" s="29"/>
      <c r="J339" s="29"/>
      <c r="K339" s="29"/>
      <c r="L339" s="29"/>
    </row>
    <row r="340" spans="1:12" ht="14.25" customHeight="1" x14ac:dyDescent="0.3">
      <c r="A340" s="40"/>
      <c r="B340" s="29"/>
      <c r="C340" s="29"/>
      <c r="D340" s="29"/>
      <c r="E340" s="29"/>
      <c r="F340" s="29"/>
      <c r="G340" s="29"/>
      <c r="H340" s="29"/>
      <c r="I340" s="29"/>
      <c r="J340" s="29"/>
      <c r="K340" s="29"/>
      <c r="L340" s="29"/>
    </row>
    <row r="341" spans="1:12" ht="14.25" customHeight="1" x14ac:dyDescent="0.3">
      <c r="A341" s="40"/>
      <c r="B341" s="29"/>
      <c r="C341" s="29"/>
      <c r="D341" s="29"/>
      <c r="E341" s="29"/>
      <c r="F341" s="29"/>
      <c r="G341" s="29"/>
      <c r="H341" s="29"/>
      <c r="I341" s="29"/>
      <c r="J341" s="29"/>
      <c r="K341" s="29"/>
      <c r="L341" s="29"/>
    </row>
    <row r="342" spans="1:12" ht="14.25" customHeight="1" x14ac:dyDescent="0.3">
      <c r="A342" s="40"/>
      <c r="B342" s="29"/>
      <c r="C342" s="29"/>
      <c r="D342" s="29"/>
      <c r="E342" s="29"/>
      <c r="F342" s="29"/>
      <c r="G342" s="29"/>
      <c r="H342" s="29"/>
      <c r="I342" s="29"/>
      <c r="J342" s="29"/>
      <c r="K342" s="29"/>
      <c r="L342" s="29"/>
    </row>
    <row r="343" spans="1:12" ht="14.25" customHeight="1" x14ac:dyDescent="0.3">
      <c r="A343" s="40"/>
      <c r="B343" s="29"/>
      <c r="C343" s="29"/>
      <c r="D343" s="29"/>
      <c r="E343" s="29"/>
      <c r="F343" s="29"/>
      <c r="G343" s="29"/>
      <c r="H343" s="29"/>
      <c r="I343" s="29"/>
      <c r="J343" s="29"/>
      <c r="K343" s="29"/>
      <c r="L343" s="29"/>
    </row>
    <row r="344" spans="1:12" ht="14.25" customHeight="1" x14ac:dyDescent="0.3">
      <c r="A344" s="40"/>
      <c r="B344" s="29"/>
      <c r="C344" s="29"/>
      <c r="D344" s="29"/>
      <c r="E344" s="29"/>
      <c r="F344" s="29"/>
      <c r="G344" s="29"/>
      <c r="H344" s="29"/>
      <c r="I344" s="29"/>
      <c r="J344" s="29"/>
      <c r="K344" s="29"/>
      <c r="L344" s="29"/>
    </row>
    <row r="345" spans="1:12" ht="14.25" customHeight="1" x14ac:dyDescent="0.3">
      <c r="A345" s="40"/>
      <c r="B345" s="29"/>
      <c r="C345" s="29"/>
      <c r="D345" s="29"/>
      <c r="E345" s="29"/>
      <c r="F345" s="29"/>
      <c r="G345" s="29"/>
      <c r="H345" s="29"/>
      <c r="I345" s="29"/>
      <c r="J345" s="29"/>
      <c r="K345" s="29"/>
      <c r="L345" s="29"/>
    </row>
    <row r="346" spans="1:12" ht="14.25" customHeight="1" x14ac:dyDescent="0.3">
      <c r="A346" s="40"/>
      <c r="B346" s="29"/>
      <c r="C346" s="29"/>
      <c r="D346" s="29"/>
      <c r="E346" s="29"/>
      <c r="F346" s="29"/>
      <c r="G346" s="29"/>
      <c r="H346" s="29"/>
      <c r="I346" s="29"/>
      <c r="J346" s="29"/>
      <c r="K346" s="29"/>
      <c r="L346" s="29"/>
    </row>
    <row r="347" spans="1:12" ht="14.25" customHeight="1" x14ac:dyDescent="0.3">
      <c r="A347" s="40"/>
      <c r="B347" s="29"/>
      <c r="C347" s="29"/>
      <c r="D347" s="29"/>
      <c r="E347" s="29"/>
      <c r="F347" s="29"/>
      <c r="G347" s="29"/>
      <c r="H347" s="29"/>
      <c r="I347" s="29"/>
      <c r="J347" s="29"/>
      <c r="K347" s="29"/>
      <c r="L347" s="29"/>
    </row>
    <row r="348" spans="1:12" ht="14.25" customHeight="1" x14ac:dyDescent="0.3">
      <c r="A348" s="40"/>
      <c r="B348" s="29"/>
      <c r="C348" s="29"/>
      <c r="D348" s="29"/>
      <c r="E348" s="29"/>
      <c r="F348" s="29"/>
      <c r="G348" s="29"/>
      <c r="H348" s="29"/>
      <c r="I348" s="29"/>
      <c r="J348" s="29"/>
      <c r="K348" s="29"/>
      <c r="L348" s="29"/>
    </row>
    <row r="349" spans="1:12" ht="14.25" customHeight="1" x14ac:dyDescent="0.3">
      <c r="A349" s="40"/>
      <c r="B349" s="29"/>
      <c r="C349" s="29"/>
      <c r="D349" s="29"/>
      <c r="E349" s="29"/>
      <c r="F349" s="29"/>
      <c r="G349" s="29"/>
      <c r="H349" s="29"/>
      <c r="I349" s="29"/>
      <c r="J349" s="29"/>
      <c r="K349" s="29"/>
      <c r="L349" s="29"/>
    </row>
    <row r="350" spans="1:12" ht="14.25" customHeight="1" x14ac:dyDescent="0.3">
      <c r="A350" s="40"/>
      <c r="B350" s="29"/>
      <c r="C350" s="29"/>
      <c r="D350" s="29"/>
      <c r="E350" s="29"/>
      <c r="F350" s="29"/>
      <c r="G350" s="29"/>
      <c r="H350" s="29"/>
      <c r="I350" s="29"/>
      <c r="J350" s="29"/>
      <c r="K350" s="29"/>
      <c r="L350" s="29"/>
    </row>
    <row r="351" spans="1:12" ht="14.25" customHeight="1" x14ac:dyDescent="0.3">
      <c r="A351" s="40"/>
      <c r="B351" s="29"/>
      <c r="C351" s="29"/>
      <c r="D351" s="29"/>
      <c r="E351" s="29"/>
      <c r="F351" s="29"/>
      <c r="G351" s="29"/>
      <c r="H351" s="29"/>
      <c r="I351" s="29"/>
      <c r="J351" s="29"/>
      <c r="K351" s="29"/>
      <c r="L351" s="29"/>
    </row>
    <row r="352" spans="1:12" ht="14.25" customHeight="1" x14ac:dyDescent="0.3">
      <c r="A352" s="40"/>
      <c r="B352" s="29"/>
      <c r="C352" s="29"/>
      <c r="D352" s="29"/>
      <c r="E352" s="29"/>
      <c r="F352" s="29"/>
      <c r="G352" s="29"/>
      <c r="H352" s="29"/>
      <c r="I352" s="29"/>
      <c r="J352" s="29"/>
      <c r="K352" s="29"/>
      <c r="L352" s="29"/>
    </row>
    <row r="353" spans="1:12" ht="14.25" customHeight="1" x14ac:dyDescent="0.3">
      <c r="A353" s="40"/>
      <c r="B353" s="29"/>
      <c r="C353" s="29"/>
      <c r="D353" s="29"/>
      <c r="E353" s="29"/>
      <c r="F353" s="29"/>
      <c r="G353" s="29"/>
      <c r="H353" s="29"/>
      <c r="I353" s="29"/>
      <c r="J353" s="29"/>
      <c r="K353" s="29"/>
      <c r="L353" s="29"/>
    </row>
    <row r="354" spans="1:12" ht="14.25" customHeight="1" x14ac:dyDescent="0.3">
      <c r="A354" s="40"/>
      <c r="B354" s="29"/>
      <c r="C354" s="29"/>
      <c r="D354" s="29"/>
      <c r="E354" s="29"/>
      <c r="F354" s="29"/>
      <c r="G354" s="29"/>
      <c r="H354" s="29"/>
      <c r="I354" s="29"/>
      <c r="J354" s="29"/>
      <c r="K354" s="29"/>
      <c r="L354" s="29"/>
    </row>
    <row r="355" spans="1:12" ht="14.25" customHeight="1" x14ac:dyDescent="0.3">
      <c r="A355" s="40"/>
      <c r="B355" s="29"/>
      <c r="C355" s="29"/>
      <c r="D355" s="29"/>
      <c r="E355" s="29"/>
      <c r="F355" s="29"/>
      <c r="G355" s="29"/>
      <c r="H355" s="29"/>
      <c r="I355" s="29"/>
      <c r="J355" s="29"/>
      <c r="K355" s="29"/>
      <c r="L355" s="29"/>
    </row>
    <row r="356" spans="1:12" ht="14.25" customHeight="1" x14ac:dyDescent="0.3">
      <c r="A356" s="40"/>
      <c r="B356" s="29"/>
      <c r="C356" s="29"/>
      <c r="D356" s="29"/>
      <c r="E356" s="29"/>
      <c r="F356" s="29"/>
      <c r="G356" s="29"/>
      <c r="H356" s="29"/>
      <c r="I356" s="29"/>
      <c r="J356" s="29"/>
      <c r="K356" s="29"/>
      <c r="L356" s="29"/>
    </row>
    <row r="357" spans="1:12" ht="14.25" customHeight="1" x14ac:dyDescent="0.3">
      <c r="A357" s="40"/>
      <c r="B357" s="29"/>
      <c r="C357" s="29"/>
      <c r="D357" s="29"/>
      <c r="E357" s="29"/>
      <c r="F357" s="29"/>
      <c r="G357" s="29"/>
      <c r="H357" s="29"/>
      <c r="I357" s="29"/>
      <c r="J357" s="29"/>
      <c r="K357" s="29"/>
      <c r="L357" s="29"/>
    </row>
    <row r="358" spans="1:12" ht="14.25" customHeight="1" x14ac:dyDescent="0.3">
      <c r="A358" s="40"/>
      <c r="B358" s="29"/>
      <c r="C358" s="29"/>
      <c r="D358" s="29"/>
      <c r="E358" s="29"/>
      <c r="F358" s="29"/>
      <c r="G358" s="29"/>
      <c r="H358" s="29"/>
      <c r="I358" s="29"/>
      <c r="J358" s="29"/>
      <c r="K358" s="29"/>
      <c r="L358" s="29"/>
    </row>
    <row r="359" spans="1:12" ht="14.25" customHeight="1" x14ac:dyDescent="0.3">
      <c r="A359" s="40"/>
      <c r="B359" s="29"/>
      <c r="C359" s="29"/>
      <c r="D359" s="29"/>
      <c r="E359" s="29"/>
      <c r="F359" s="29"/>
      <c r="G359" s="29"/>
      <c r="H359" s="29"/>
      <c r="I359" s="29"/>
      <c r="J359" s="29"/>
      <c r="K359" s="29"/>
      <c r="L359" s="29"/>
    </row>
    <row r="360" spans="1:12" ht="14.25" customHeight="1" x14ac:dyDescent="0.3">
      <c r="A360" s="40"/>
      <c r="B360" s="29"/>
      <c r="C360" s="29"/>
      <c r="D360" s="29"/>
      <c r="E360" s="29"/>
      <c r="F360" s="29"/>
      <c r="G360" s="29"/>
      <c r="H360" s="29"/>
      <c r="I360" s="29"/>
      <c r="J360" s="29"/>
      <c r="K360" s="29"/>
      <c r="L360" s="29"/>
    </row>
    <row r="361" spans="1:12" ht="14.25" customHeight="1" x14ac:dyDescent="0.3">
      <c r="A361" s="40"/>
      <c r="B361" s="29"/>
      <c r="C361" s="29"/>
      <c r="D361" s="29"/>
      <c r="E361" s="29"/>
      <c r="F361" s="29"/>
      <c r="G361" s="29"/>
      <c r="H361" s="29"/>
      <c r="I361" s="29"/>
      <c r="J361" s="29"/>
      <c r="K361" s="29"/>
      <c r="L361" s="29"/>
    </row>
    <row r="362" spans="1:12" ht="14.25" customHeight="1" x14ac:dyDescent="0.3">
      <c r="A362" s="40"/>
      <c r="B362" s="29"/>
      <c r="C362" s="29"/>
      <c r="D362" s="29"/>
      <c r="E362" s="29"/>
      <c r="F362" s="29"/>
      <c r="G362" s="29"/>
      <c r="H362" s="29"/>
      <c r="I362" s="29"/>
      <c r="J362" s="29"/>
      <c r="K362" s="29"/>
      <c r="L362" s="29"/>
    </row>
    <row r="363" spans="1:12" ht="14.25" customHeight="1" x14ac:dyDescent="0.3">
      <c r="A363" s="40"/>
      <c r="B363" s="29"/>
      <c r="C363" s="29"/>
      <c r="D363" s="29"/>
      <c r="E363" s="29"/>
      <c r="F363" s="29"/>
      <c r="G363" s="29"/>
      <c r="H363" s="29"/>
      <c r="I363" s="29"/>
      <c r="J363" s="29"/>
      <c r="K363" s="29"/>
      <c r="L363" s="29"/>
    </row>
    <row r="364" spans="1:12" ht="14.25" customHeight="1" x14ac:dyDescent="0.3">
      <c r="A364" s="40"/>
      <c r="B364" s="29"/>
      <c r="C364" s="29"/>
      <c r="D364" s="29"/>
      <c r="E364" s="29"/>
      <c r="F364" s="29"/>
      <c r="G364" s="29"/>
      <c r="H364" s="29"/>
      <c r="I364" s="29"/>
      <c r="J364" s="29"/>
      <c r="K364" s="29"/>
      <c r="L364" s="29"/>
    </row>
    <row r="365" spans="1:12" ht="14.25" customHeight="1" x14ac:dyDescent="0.3">
      <c r="A365" s="40"/>
      <c r="B365" s="29"/>
      <c r="C365" s="29"/>
      <c r="D365" s="29"/>
      <c r="E365" s="29"/>
      <c r="F365" s="29"/>
      <c r="G365" s="29"/>
      <c r="H365" s="29"/>
      <c r="I365" s="29"/>
      <c r="J365" s="29"/>
      <c r="K365" s="29"/>
      <c r="L365" s="29"/>
    </row>
    <row r="366" spans="1:12" ht="14.25" customHeight="1" x14ac:dyDescent="0.3">
      <c r="A366" s="40"/>
      <c r="B366" s="29"/>
      <c r="C366" s="29"/>
      <c r="D366" s="29"/>
      <c r="E366" s="29"/>
      <c r="F366" s="29"/>
      <c r="G366" s="29"/>
      <c r="H366" s="29"/>
      <c r="I366" s="29"/>
      <c r="J366" s="29"/>
      <c r="K366" s="29"/>
      <c r="L366" s="29"/>
    </row>
    <row r="367" spans="1:12" ht="14.25" customHeight="1" x14ac:dyDescent="0.3">
      <c r="A367" s="40"/>
      <c r="B367" s="29"/>
      <c r="C367" s="29"/>
      <c r="D367" s="29"/>
      <c r="E367" s="29"/>
      <c r="F367" s="29"/>
      <c r="G367" s="29"/>
      <c r="H367" s="29"/>
      <c r="I367" s="29"/>
      <c r="J367" s="29"/>
      <c r="K367" s="29"/>
      <c r="L367" s="29"/>
    </row>
    <row r="368" spans="1:12" ht="14.25" customHeight="1" x14ac:dyDescent="0.3">
      <c r="A368" s="40"/>
      <c r="B368" s="29"/>
      <c r="C368" s="29"/>
      <c r="D368" s="29"/>
      <c r="E368" s="29"/>
      <c r="F368" s="29"/>
      <c r="G368" s="29"/>
      <c r="H368" s="29"/>
      <c r="I368" s="29"/>
      <c r="J368" s="29"/>
      <c r="K368" s="29"/>
      <c r="L368" s="29"/>
    </row>
    <row r="369" spans="1:12" ht="14.25" customHeight="1" x14ac:dyDescent="0.3">
      <c r="A369" s="40"/>
      <c r="B369" s="29"/>
      <c r="C369" s="29"/>
      <c r="D369" s="29"/>
      <c r="E369" s="29"/>
      <c r="F369" s="29"/>
      <c r="G369" s="29"/>
      <c r="H369" s="29"/>
      <c r="I369" s="29"/>
      <c r="J369" s="29"/>
      <c r="K369" s="29"/>
      <c r="L369" s="29"/>
    </row>
    <row r="370" spans="1:12" ht="14.25" customHeight="1" x14ac:dyDescent="0.3">
      <c r="A370" s="40"/>
      <c r="B370" s="29"/>
      <c r="C370" s="29"/>
      <c r="D370" s="29"/>
      <c r="E370" s="29"/>
      <c r="F370" s="29"/>
      <c r="G370" s="29"/>
      <c r="H370" s="29"/>
      <c r="I370" s="29"/>
      <c r="J370" s="29"/>
      <c r="K370" s="29"/>
      <c r="L370" s="29"/>
    </row>
    <row r="371" spans="1:12" ht="14.25" customHeight="1" x14ac:dyDescent="0.3">
      <c r="A371" s="40"/>
      <c r="B371" s="29"/>
      <c r="C371" s="29"/>
      <c r="D371" s="29"/>
      <c r="E371" s="29"/>
      <c r="F371" s="29"/>
      <c r="G371" s="29"/>
      <c r="H371" s="29"/>
      <c r="I371" s="29"/>
      <c r="J371" s="29"/>
      <c r="K371" s="29"/>
      <c r="L371" s="29"/>
    </row>
    <row r="372" spans="1:12" ht="14.25" customHeight="1" x14ac:dyDescent="0.3">
      <c r="A372" s="40"/>
      <c r="B372" s="29"/>
      <c r="C372" s="29"/>
      <c r="D372" s="29"/>
      <c r="E372" s="29"/>
      <c r="F372" s="29"/>
      <c r="G372" s="29"/>
      <c r="H372" s="29"/>
      <c r="I372" s="29"/>
      <c r="J372" s="29"/>
      <c r="K372" s="29"/>
      <c r="L372" s="29"/>
    </row>
    <row r="373" spans="1:12" ht="14.25" customHeight="1" x14ac:dyDescent="0.3">
      <c r="A373" s="40"/>
      <c r="B373" s="29"/>
      <c r="C373" s="29"/>
      <c r="D373" s="29"/>
      <c r="E373" s="29"/>
      <c r="F373" s="29"/>
      <c r="G373" s="29"/>
      <c r="H373" s="29"/>
      <c r="I373" s="29"/>
      <c r="J373" s="29"/>
      <c r="K373" s="29"/>
      <c r="L373" s="29"/>
    </row>
    <row r="374" spans="1:12" ht="14.25" customHeight="1" x14ac:dyDescent="0.3">
      <c r="A374" s="40"/>
      <c r="B374" s="29"/>
      <c r="C374" s="29"/>
      <c r="D374" s="29"/>
      <c r="E374" s="29"/>
      <c r="F374" s="29"/>
      <c r="G374" s="29"/>
      <c r="H374" s="29"/>
      <c r="I374" s="29"/>
      <c r="J374" s="29"/>
      <c r="K374" s="29"/>
      <c r="L374" s="29"/>
    </row>
    <row r="375" spans="1:12" ht="14.25" customHeight="1" x14ac:dyDescent="0.3">
      <c r="A375" s="40"/>
      <c r="B375" s="29"/>
      <c r="C375" s="29"/>
      <c r="D375" s="29"/>
      <c r="E375" s="29"/>
      <c r="F375" s="29"/>
      <c r="G375" s="29"/>
      <c r="H375" s="29"/>
      <c r="I375" s="29"/>
      <c r="J375" s="29"/>
      <c r="K375" s="29"/>
      <c r="L375" s="29"/>
    </row>
    <row r="376" spans="1:12" ht="14.25" customHeight="1" x14ac:dyDescent="0.3">
      <c r="A376" s="40"/>
      <c r="B376" s="29"/>
      <c r="C376" s="29"/>
      <c r="D376" s="29"/>
      <c r="E376" s="29"/>
      <c r="F376" s="29"/>
      <c r="G376" s="29"/>
      <c r="H376" s="29"/>
      <c r="I376" s="29"/>
      <c r="J376" s="29"/>
      <c r="K376" s="29"/>
      <c r="L376" s="29"/>
    </row>
    <row r="377" spans="1:12" ht="14.25" customHeight="1" x14ac:dyDescent="0.3">
      <c r="A377" s="40"/>
      <c r="B377" s="29"/>
      <c r="C377" s="29"/>
      <c r="D377" s="29"/>
      <c r="E377" s="29"/>
      <c r="F377" s="29"/>
      <c r="G377" s="29"/>
      <c r="H377" s="29"/>
      <c r="I377" s="29"/>
      <c r="J377" s="29"/>
      <c r="K377" s="29"/>
      <c r="L377" s="29"/>
    </row>
    <row r="378" spans="1:12" ht="14.25" customHeight="1" x14ac:dyDescent="0.3">
      <c r="A378" s="40"/>
      <c r="B378" s="29"/>
      <c r="C378" s="29"/>
      <c r="D378" s="29"/>
      <c r="E378" s="29"/>
      <c r="F378" s="29"/>
      <c r="G378" s="29"/>
      <c r="H378" s="29"/>
      <c r="I378" s="29"/>
      <c r="J378" s="29"/>
      <c r="K378" s="29"/>
      <c r="L378" s="29"/>
    </row>
    <row r="379" spans="1:12" ht="14.25" customHeight="1" x14ac:dyDescent="0.3">
      <c r="A379" s="40"/>
      <c r="B379" s="29"/>
      <c r="C379" s="29"/>
      <c r="D379" s="29"/>
      <c r="E379" s="29"/>
      <c r="F379" s="29"/>
      <c r="G379" s="29"/>
      <c r="H379" s="29"/>
      <c r="I379" s="29"/>
      <c r="J379" s="29"/>
      <c r="K379" s="29"/>
      <c r="L379" s="29"/>
    </row>
    <row r="380" spans="1:12" ht="14.25" customHeight="1" x14ac:dyDescent="0.3">
      <c r="A380" s="40"/>
      <c r="B380" s="29"/>
      <c r="C380" s="29"/>
      <c r="D380" s="29"/>
      <c r="E380" s="29"/>
      <c r="F380" s="29"/>
      <c r="G380" s="29"/>
      <c r="H380" s="29"/>
      <c r="I380" s="29"/>
      <c r="J380" s="29"/>
      <c r="K380" s="29"/>
      <c r="L380" s="29"/>
    </row>
    <row r="381" spans="1:12" ht="14.25" customHeight="1" x14ac:dyDescent="0.3">
      <c r="A381" s="40"/>
      <c r="B381" s="29"/>
      <c r="C381" s="29"/>
      <c r="D381" s="29"/>
      <c r="E381" s="29"/>
      <c r="F381" s="29"/>
      <c r="G381" s="29"/>
      <c r="H381" s="29"/>
      <c r="I381" s="29"/>
      <c r="J381" s="29"/>
      <c r="K381" s="29"/>
      <c r="L381" s="29"/>
    </row>
    <row r="382" spans="1:12" ht="14.25" customHeight="1" x14ac:dyDescent="0.3">
      <c r="A382" s="40"/>
      <c r="B382" s="29"/>
      <c r="C382" s="29"/>
      <c r="D382" s="29"/>
      <c r="E382" s="29"/>
      <c r="F382" s="29"/>
      <c r="G382" s="29"/>
      <c r="H382" s="29"/>
      <c r="I382" s="29"/>
      <c r="J382" s="29"/>
      <c r="K382" s="29"/>
      <c r="L382" s="29"/>
    </row>
    <row r="383" spans="1:12" ht="14.25" customHeight="1" x14ac:dyDescent="0.3">
      <c r="A383" s="40"/>
      <c r="B383" s="29"/>
      <c r="C383" s="29"/>
      <c r="D383" s="29"/>
      <c r="E383" s="29"/>
      <c r="F383" s="29"/>
      <c r="G383" s="29"/>
      <c r="H383" s="29"/>
      <c r="I383" s="29"/>
      <c r="J383" s="29"/>
      <c r="K383" s="29"/>
      <c r="L383" s="29"/>
    </row>
    <row r="384" spans="1:12" ht="14.25" customHeight="1" x14ac:dyDescent="0.3">
      <c r="A384" s="40"/>
      <c r="B384" s="29"/>
      <c r="C384" s="29"/>
      <c r="D384" s="29"/>
      <c r="E384" s="29"/>
      <c r="F384" s="29"/>
      <c r="G384" s="29"/>
      <c r="H384" s="29"/>
      <c r="I384" s="29"/>
      <c r="J384" s="29"/>
      <c r="K384" s="29"/>
      <c r="L384" s="29"/>
    </row>
    <row r="385" spans="1:12" ht="14.25" customHeight="1" x14ac:dyDescent="0.3">
      <c r="A385" s="40"/>
      <c r="B385" s="29"/>
      <c r="C385" s="29"/>
      <c r="D385" s="29"/>
      <c r="E385" s="29"/>
      <c r="F385" s="29"/>
      <c r="G385" s="29"/>
      <c r="H385" s="29"/>
      <c r="I385" s="29"/>
      <c r="J385" s="29"/>
      <c r="K385" s="29"/>
      <c r="L385" s="29"/>
    </row>
    <row r="386" spans="1:12" ht="14.25" customHeight="1" x14ac:dyDescent="0.3">
      <c r="A386" s="40"/>
      <c r="B386" s="29"/>
      <c r="C386" s="29"/>
      <c r="D386" s="29"/>
      <c r="E386" s="29"/>
      <c r="F386" s="29"/>
      <c r="G386" s="29"/>
      <c r="H386" s="29"/>
      <c r="I386" s="29"/>
      <c r="J386" s="29"/>
      <c r="K386" s="29"/>
      <c r="L386" s="29"/>
    </row>
    <row r="387" spans="1:12" ht="14.25" customHeight="1" x14ac:dyDescent="0.3">
      <c r="A387" s="40"/>
      <c r="B387" s="29"/>
      <c r="C387" s="29"/>
      <c r="D387" s="29"/>
      <c r="E387" s="29"/>
      <c r="F387" s="29"/>
      <c r="G387" s="29"/>
      <c r="H387" s="29"/>
      <c r="I387" s="29"/>
      <c r="J387" s="29"/>
      <c r="K387" s="29"/>
      <c r="L387" s="29"/>
    </row>
    <row r="388" spans="1:12" ht="14.25" customHeight="1" x14ac:dyDescent="0.3">
      <c r="A388" s="40"/>
      <c r="B388" s="29"/>
      <c r="C388" s="29"/>
      <c r="D388" s="29"/>
      <c r="E388" s="29"/>
      <c r="F388" s="29"/>
      <c r="G388" s="29"/>
      <c r="H388" s="29"/>
      <c r="I388" s="29"/>
      <c r="J388" s="29"/>
      <c r="K388" s="29"/>
      <c r="L388" s="29"/>
    </row>
    <row r="389" spans="1:12" ht="14.25" customHeight="1" x14ac:dyDescent="0.3">
      <c r="A389" s="40"/>
      <c r="B389" s="29"/>
      <c r="C389" s="29"/>
      <c r="D389" s="29"/>
      <c r="E389" s="29"/>
      <c r="F389" s="29"/>
      <c r="G389" s="29"/>
      <c r="H389" s="29"/>
      <c r="I389" s="29"/>
      <c r="J389" s="29"/>
      <c r="K389" s="29"/>
      <c r="L389" s="29"/>
    </row>
    <row r="390" spans="1:12" ht="14.25" customHeight="1" x14ac:dyDescent="0.3">
      <c r="A390" s="40"/>
      <c r="B390" s="29"/>
      <c r="C390" s="29"/>
      <c r="D390" s="29"/>
      <c r="E390" s="29"/>
      <c r="F390" s="29"/>
      <c r="G390" s="29"/>
      <c r="H390" s="29"/>
      <c r="I390" s="29"/>
      <c r="J390" s="29"/>
      <c r="K390" s="29"/>
      <c r="L390" s="29"/>
    </row>
    <row r="391" spans="1:12" ht="14.25" customHeight="1" x14ac:dyDescent="0.3">
      <c r="A391" s="40"/>
      <c r="B391" s="29"/>
      <c r="C391" s="29"/>
      <c r="D391" s="29"/>
      <c r="E391" s="29"/>
      <c r="F391" s="29"/>
      <c r="G391" s="29"/>
      <c r="H391" s="29"/>
      <c r="I391" s="29"/>
      <c r="J391" s="29"/>
      <c r="K391" s="29"/>
      <c r="L391" s="29"/>
    </row>
    <row r="392" spans="1:12" ht="14.25" customHeight="1" x14ac:dyDescent="0.3">
      <c r="A392" s="40"/>
      <c r="B392" s="29"/>
      <c r="C392" s="29"/>
      <c r="D392" s="29"/>
      <c r="E392" s="29"/>
      <c r="F392" s="29"/>
      <c r="G392" s="29"/>
      <c r="H392" s="29"/>
      <c r="I392" s="29"/>
      <c r="J392" s="29"/>
      <c r="K392" s="29"/>
      <c r="L392" s="29"/>
    </row>
    <row r="393" spans="1:12" ht="14.25" customHeight="1" x14ac:dyDescent="0.3">
      <c r="A393" s="40"/>
      <c r="B393" s="29"/>
      <c r="C393" s="29"/>
      <c r="D393" s="29"/>
      <c r="E393" s="29"/>
      <c r="F393" s="29"/>
      <c r="G393" s="29"/>
      <c r="H393" s="29"/>
      <c r="I393" s="29"/>
      <c r="J393" s="29"/>
      <c r="K393" s="29"/>
      <c r="L393" s="29"/>
    </row>
    <row r="394" spans="1:12" ht="14.25" customHeight="1" x14ac:dyDescent="0.3">
      <c r="A394" s="40"/>
      <c r="B394" s="29"/>
      <c r="C394" s="29"/>
      <c r="D394" s="29"/>
      <c r="E394" s="29"/>
      <c r="F394" s="29"/>
      <c r="G394" s="29"/>
      <c r="H394" s="29"/>
      <c r="I394" s="29"/>
      <c r="J394" s="29"/>
      <c r="K394" s="29"/>
      <c r="L394" s="29"/>
    </row>
    <row r="395" spans="1:12" ht="14.25" customHeight="1" x14ac:dyDescent="0.3">
      <c r="A395" s="40"/>
      <c r="B395" s="29"/>
      <c r="C395" s="29"/>
      <c r="D395" s="29"/>
      <c r="E395" s="29"/>
      <c r="F395" s="29"/>
      <c r="G395" s="29"/>
      <c r="H395" s="29"/>
      <c r="I395" s="29"/>
      <c r="J395" s="29"/>
      <c r="K395" s="29"/>
      <c r="L395" s="29"/>
    </row>
    <row r="396" spans="1:12" ht="14.25" customHeight="1" x14ac:dyDescent="0.3">
      <c r="A396" s="40"/>
      <c r="B396" s="29"/>
      <c r="C396" s="29"/>
      <c r="D396" s="29"/>
      <c r="E396" s="29"/>
      <c r="F396" s="29"/>
      <c r="G396" s="29"/>
      <c r="H396" s="29"/>
      <c r="I396" s="29"/>
      <c r="J396" s="29"/>
      <c r="K396" s="29"/>
      <c r="L396" s="29"/>
    </row>
    <row r="397" spans="1:12" ht="14.25" customHeight="1" x14ac:dyDescent="0.3">
      <c r="A397" s="40"/>
      <c r="B397" s="29"/>
      <c r="C397" s="29"/>
      <c r="D397" s="29"/>
      <c r="E397" s="29"/>
      <c r="F397" s="29"/>
      <c r="G397" s="29"/>
      <c r="H397" s="29"/>
      <c r="I397" s="29"/>
      <c r="J397" s="29"/>
      <c r="K397" s="29"/>
      <c r="L397" s="29"/>
    </row>
    <row r="398" spans="1:12" ht="14.25" customHeight="1" x14ac:dyDescent="0.3">
      <c r="A398" s="40"/>
      <c r="B398" s="29"/>
      <c r="C398" s="29"/>
      <c r="D398" s="29"/>
      <c r="E398" s="29"/>
      <c r="F398" s="29"/>
      <c r="G398" s="29"/>
      <c r="H398" s="29"/>
      <c r="I398" s="29"/>
      <c r="J398" s="29"/>
      <c r="K398" s="29"/>
      <c r="L398" s="29"/>
    </row>
    <row r="399" spans="1:12" ht="14.25" customHeight="1" x14ac:dyDescent="0.3">
      <c r="A399" s="40"/>
      <c r="B399" s="29"/>
      <c r="C399" s="29"/>
      <c r="D399" s="29"/>
      <c r="E399" s="29"/>
      <c r="F399" s="29"/>
      <c r="G399" s="29"/>
      <c r="H399" s="29"/>
      <c r="I399" s="29"/>
      <c r="J399" s="29"/>
      <c r="K399" s="29"/>
      <c r="L399" s="29"/>
    </row>
    <row r="400" spans="1:12" ht="14.25" customHeight="1" x14ac:dyDescent="0.3">
      <c r="A400" s="40"/>
      <c r="B400" s="29"/>
      <c r="C400" s="29"/>
      <c r="D400" s="29"/>
      <c r="E400" s="29"/>
      <c r="F400" s="29"/>
      <c r="G400" s="29"/>
      <c r="H400" s="29"/>
      <c r="I400" s="29"/>
      <c r="J400" s="29"/>
      <c r="K400" s="29"/>
      <c r="L400" s="29"/>
    </row>
    <row r="401" spans="1:12" ht="14.25" customHeight="1" x14ac:dyDescent="0.3">
      <c r="A401" s="40"/>
      <c r="B401" s="29"/>
      <c r="C401" s="29"/>
      <c r="D401" s="29"/>
      <c r="E401" s="29"/>
      <c r="F401" s="29"/>
      <c r="G401" s="29"/>
      <c r="H401" s="29"/>
      <c r="I401" s="29"/>
      <c r="J401" s="29"/>
      <c r="K401" s="29"/>
      <c r="L401" s="29"/>
    </row>
    <row r="402" spans="1:12" ht="14.25" customHeight="1" x14ac:dyDescent="0.3">
      <c r="A402" s="40"/>
      <c r="B402" s="29"/>
      <c r="C402" s="29"/>
      <c r="D402" s="29"/>
      <c r="E402" s="29"/>
      <c r="F402" s="29"/>
      <c r="G402" s="29"/>
      <c r="H402" s="29"/>
      <c r="I402" s="29"/>
      <c r="J402" s="29"/>
      <c r="K402" s="29"/>
      <c r="L402" s="29"/>
    </row>
    <row r="403" spans="1:12" ht="14.25" customHeight="1" x14ac:dyDescent="0.3">
      <c r="A403" s="40"/>
      <c r="B403" s="29"/>
      <c r="C403" s="29"/>
      <c r="D403" s="29"/>
      <c r="E403" s="29"/>
      <c r="F403" s="29"/>
      <c r="G403" s="29"/>
      <c r="H403" s="29"/>
      <c r="I403" s="29"/>
      <c r="J403" s="29"/>
      <c r="K403" s="29"/>
      <c r="L403" s="29"/>
    </row>
    <row r="404" spans="1:12" ht="14.25" customHeight="1" x14ac:dyDescent="0.3">
      <c r="A404" s="40"/>
      <c r="B404" s="29"/>
      <c r="C404" s="29"/>
      <c r="D404" s="29"/>
      <c r="E404" s="29"/>
      <c r="F404" s="29"/>
      <c r="G404" s="29"/>
      <c r="H404" s="29"/>
      <c r="I404" s="29"/>
      <c r="J404" s="29"/>
      <c r="K404" s="29"/>
      <c r="L404" s="29"/>
    </row>
    <row r="405" spans="1:12" ht="14.25" customHeight="1" x14ac:dyDescent="0.3">
      <c r="A405" s="40"/>
      <c r="B405" s="29"/>
      <c r="C405" s="29"/>
      <c r="D405" s="29"/>
      <c r="E405" s="29"/>
      <c r="F405" s="29"/>
      <c r="G405" s="29"/>
      <c r="H405" s="29"/>
      <c r="I405" s="29"/>
      <c r="J405" s="29"/>
      <c r="K405" s="29"/>
      <c r="L405" s="29"/>
    </row>
    <row r="406" spans="1:12" ht="14.25" customHeight="1" x14ac:dyDescent="0.3">
      <c r="A406" s="40"/>
      <c r="B406" s="29"/>
      <c r="C406" s="29"/>
      <c r="D406" s="29"/>
      <c r="E406" s="29"/>
      <c r="F406" s="29"/>
      <c r="G406" s="29"/>
      <c r="H406" s="29"/>
      <c r="I406" s="29"/>
      <c r="J406" s="29"/>
      <c r="K406" s="29"/>
      <c r="L406" s="29"/>
    </row>
    <row r="407" spans="1:12" ht="14.25" customHeight="1" x14ac:dyDescent="0.3">
      <c r="A407" s="40"/>
      <c r="B407" s="29"/>
      <c r="C407" s="29"/>
      <c r="D407" s="29"/>
      <c r="E407" s="29"/>
      <c r="F407" s="29"/>
      <c r="G407" s="29"/>
      <c r="H407" s="29"/>
      <c r="I407" s="29"/>
      <c r="J407" s="29"/>
      <c r="K407" s="29"/>
      <c r="L407" s="29"/>
    </row>
    <row r="408" spans="1:12" ht="14.25" customHeight="1" x14ac:dyDescent="0.3">
      <c r="A408" s="40"/>
      <c r="B408" s="29"/>
      <c r="C408" s="29"/>
      <c r="D408" s="29"/>
      <c r="E408" s="29"/>
      <c r="F408" s="29"/>
      <c r="G408" s="29"/>
      <c r="H408" s="29"/>
      <c r="I408" s="29"/>
      <c r="J408" s="29"/>
      <c r="K408" s="29"/>
      <c r="L408" s="29"/>
    </row>
    <row r="409" spans="1:12" ht="14.25" customHeight="1" x14ac:dyDescent="0.3">
      <c r="A409" s="40"/>
      <c r="B409" s="29"/>
      <c r="C409" s="29"/>
      <c r="D409" s="29"/>
      <c r="E409" s="29"/>
      <c r="F409" s="29"/>
      <c r="G409" s="29"/>
      <c r="H409" s="29"/>
      <c r="I409" s="29"/>
      <c r="J409" s="29"/>
      <c r="K409" s="29"/>
      <c r="L409" s="29"/>
    </row>
    <row r="410" spans="1:12" ht="14.25" customHeight="1" x14ac:dyDescent="0.3">
      <c r="A410" s="40"/>
      <c r="B410" s="29"/>
      <c r="C410" s="29"/>
      <c r="D410" s="29"/>
      <c r="E410" s="29"/>
      <c r="F410" s="29"/>
      <c r="G410" s="29"/>
      <c r="H410" s="29"/>
      <c r="I410" s="29"/>
      <c r="J410" s="29"/>
      <c r="K410" s="29"/>
      <c r="L410" s="29"/>
    </row>
    <row r="411" spans="1:12" ht="14.25" customHeight="1" x14ac:dyDescent="0.3">
      <c r="A411" s="40"/>
      <c r="B411" s="29"/>
      <c r="C411" s="29"/>
      <c r="D411" s="29"/>
      <c r="E411" s="29"/>
      <c r="F411" s="29"/>
      <c r="G411" s="29"/>
      <c r="H411" s="29"/>
      <c r="I411" s="29"/>
      <c r="J411" s="29"/>
      <c r="K411" s="29"/>
      <c r="L411" s="29"/>
    </row>
    <row r="412" spans="1:12" ht="14.25" customHeight="1" x14ac:dyDescent="0.3">
      <c r="A412" s="40"/>
      <c r="B412" s="29"/>
      <c r="C412" s="29"/>
      <c r="D412" s="29"/>
      <c r="E412" s="29"/>
      <c r="F412" s="29"/>
      <c r="G412" s="29"/>
      <c r="H412" s="29"/>
      <c r="I412" s="29"/>
      <c r="J412" s="29"/>
      <c r="K412" s="29"/>
      <c r="L412" s="29"/>
    </row>
    <row r="413" spans="1:12" ht="14.25" customHeight="1" x14ac:dyDescent="0.3">
      <c r="A413" s="40"/>
      <c r="B413" s="29"/>
      <c r="C413" s="29"/>
      <c r="D413" s="29"/>
      <c r="E413" s="29"/>
      <c r="F413" s="29"/>
      <c r="G413" s="29"/>
      <c r="H413" s="29"/>
      <c r="I413" s="29"/>
      <c r="J413" s="29"/>
      <c r="K413" s="29"/>
      <c r="L413" s="29"/>
    </row>
    <row r="414" spans="1:12" ht="14.25" customHeight="1" x14ac:dyDescent="0.3">
      <c r="A414" s="40"/>
      <c r="B414" s="29"/>
      <c r="C414" s="29"/>
      <c r="D414" s="29"/>
      <c r="E414" s="29"/>
      <c r="F414" s="29"/>
      <c r="G414" s="29"/>
      <c r="H414" s="29"/>
      <c r="I414" s="29"/>
      <c r="J414" s="29"/>
      <c r="K414" s="29"/>
      <c r="L414" s="29"/>
    </row>
    <row r="415" spans="1:12" ht="14.25" customHeight="1" x14ac:dyDescent="0.3">
      <c r="A415" s="40"/>
      <c r="B415" s="29"/>
      <c r="C415" s="29"/>
      <c r="D415" s="29"/>
      <c r="E415" s="29"/>
      <c r="F415" s="29"/>
      <c r="G415" s="29"/>
      <c r="H415" s="29"/>
      <c r="I415" s="29"/>
      <c r="J415" s="29"/>
      <c r="K415" s="29"/>
      <c r="L415" s="29"/>
    </row>
    <row r="416" spans="1:12" ht="14.25" customHeight="1" x14ac:dyDescent="0.3">
      <c r="A416" s="40"/>
      <c r="B416" s="29"/>
      <c r="C416" s="29"/>
      <c r="D416" s="29"/>
      <c r="E416" s="29"/>
      <c r="F416" s="29"/>
      <c r="G416" s="29"/>
      <c r="H416" s="29"/>
      <c r="I416" s="29"/>
      <c r="J416" s="29"/>
      <c r="K416" s="29"/>
      <c r="L416" s="29"/>
    </row>
    <row r="417" spans="1:12" ht="14.25" customHeight="1" x14ac:dyDescent="0.3">
      <c r="A417" s="40"/>
      <c r="B417" s="29"/>
      <c r="C417" s="29"/>
      <c r="D417" s="29"/>
      <c r="E417" s="29"/>
      <c r="F417" s="29"/>
      <c r="G417" s="29"/>
      <c r="H417" s="29"/>
      <c r="I417" s="29"/>
      <c r="J417" s="29"/>
      <c r="K417" s="29"/>
      <c r="L417" s="29"/>
    </row>
    <row r="418" spans="1:12" ht="14.25" customHeight="1" x14ac:dyDescent="0.3">
      <c r="A418" s="40"/>
      <c r="B418" s="29"/>
      <c r="C418" s="29"/>
      <c r="D418" s="29"/>
      <c r="E418" s="29"/>
      <c r="F418" s="29"/>
      <c r="G418" s="29"/>
      <c r="H418" s="29"/>
      <c r="I418" s="29"/>
      <c r="J418" s="29"/>
      <c r="K418" s="29"/>
      <c r="L418" s="29"/>
    </row>
    <row r="419" spans="1:12" ht="14.25" customHeight="1" x14ac:dyDescent="0.3">
      <c r="A419" s="40"/>
      <c r="B419" s="29"/>
      <c r="C419" s="29"/>
      <c r="D419" s="29"/>
      <c r="E419" s="29"/>
      <c r="F419" s="29"/>
      <c r="G419" s="29"/>
      <c r="H419" s="29"/>
      <c r="I419" s="29"/>
      <c r="J419" s="29"/>
      <c r="K419" s="29"/>
      <c r="L419" s="29"/>
    </row>
    <row r="420" spans="1:12" ht="14.25" customHeight="1" x14ac:dyDescent="0.3">
      <c r="A420" s="40"/>
      <c r="B420" s="29"/>
      <c r="C420" s="29"/>
      <c r="D420" s="29"/>
      <c r="E420" s="29"/>
      <c r="F420" s="29"/>
      <c r="G420" s="29"/>
      <c r="H420" s="29"/>
      <c r="I420" s="29"/>
      <c r="J420" s="29"/>
      <c r="K420" s="29"/>
      <c r="L420" s="29"/>
    </row>
    <row r="421" spans="1:12" ht="14.25" customHeight="1" x14ac:dyDescent="0.3">
      <c r="A421" s="40"/>
      <c r="B421" s="29"/>
      <c r="C421" s="29"/>
      <c r="D421" s="29"/>
      <c r="E421" s="29"/>
      <c r="F421" s="29"/>
      <c r="G421" s="29"/>
      <c r="H421" s="29"/>
      <c r="I421" s="29"/>
      <c r="J421" s="29"/>
      <c r="K421" s="29"/>
      <c r="L421" s="29"/>
    </row>
    <row r="422" spans="1:12" ht="14.25" customHeight="1" x14ac:dyDescent="0.3">
      <c r="A422" s="40"/>
      <c r="B422" s="29"/>
      <c r="C422" s="29"/>
      <c r="D422" s="29"/>
      <c r="E422" s="29"/>
      <c r="F422" s="29"/>
      <c r="G422" s="29"/>
      <c r="H422" s="29"/>
      <c r="I422" s="29"/>
      <c r="J422" s="29"/>
      <c r="K422" s="29"/>
      <c r="L422" s="29"/>
    </row>
    <row r="423" spans="1:12" ht="14.25" customHeight="1" x14ac:dyDescent="0.3">
      <c r="A423" s="40"/>
      <c r="B423" s="29"/>
      <c r="C423" s="29"/>
      <c r="D423" s="29"/>
      <c r="E423" s="29"/>
      <c r="F423" s="29"/>
      <c r="G423" s="29"/>
      <c r="H423" s="29"/>
      <c r="I423" s="29"/>
      <c r="J423" s="29"/>
      <c r="K423" s="29"/>
      <c r="L423" s="29"/>
    </row>
    <row r="424" spans="1:12" ht="14.25" customHeight="1" x14ac:dyDescent="0.3">
      <c r="A424" s="40"/>
      <c r="B424" s="29"/>
      <c r="C424" s="29"/>
      <c r="D424" s="29"/>
      <c r="E424" s="29"/>
      <c r="F424" s="29"/>
      <c r="G424" s="29"/>
      <c r="H424" s="29"/>
      <c r="I424" s="29"/>
      <c r="J424" s="29"/>
      <c r="K424" s="29"/>
      <c r="L424" s="29"/>
    </row>
    <row r="425" spans="1:12" ht="14.25" customHeight="1" x14ac:dyDescent="0.3">
      <c r="A425" s="40"/>
      <c r="B425" s="29"/>
      <c r="C425" s="29"/>
      <c r="D425" s="29"/>
      <c r="E425" s="29"/>
      <c r="F425" s="29"/>
      <c r="G425" s="29"/>
      <c r="H425" s="29"/>
      <c r="I425" s="29"/>
      <c r="J425" s="29"/>
      <c r="K425" s="29"/>
      <c r="L425" s="29"/>
    </row>
    <row r="426" spans="1:12" ht="14.25" customHeight="1" x14ac:dyDescent="0.3">
      <c r="A426" s="40"/>
      <c r="B426" s="29"/>
      <c r="C426" s="29"/>
      <c r="D426" s="29"/>
      <c r="E426" s="29"/>
      <c r="F426" s="29"/>
      <c r="G426" s="29"/>
      <c r="H426" s="29"/>
      <c r="I426" s="29"/>
      <c r="J426" s="29"/>
      <c r="K426" s="29"/>
      <c r="L426" s="29"/>
    </row>
    <row r="427" spans="1:12" ht="14.25" customHeight="1" x14ac:dyDescent="0.3">
      <c r="A427" s="40"/>
      <c r="B427" s="29"/>
      <c r="C427" s="29"/>
      <c r="D427" s="29"/>
      <c r="E427" s="29"/>
      <c r="F427" s="29"/>
      <c r="G427" s="29"/>
      <c r="H427" s="29"/>
      <c r="I427" s="29"/>
      <c r="J427" s="29"/>
      <c r="K427" s="29"/>
      <c r="L427" s="29"/>
    </row>
    <row r="428" spans="1:12" ht="14.25" customHeight="1" x14ac:dyDescent="0.3">
      <c r="A428" s="40"/>
      <c r="B428" s="29"/>
      <c r="C428" s="29"/>
      <c r="D428" s="29"/>
      <c r="E428" s="29"/>
      <c r="F428" s="29"/>
      <c r="G428" s="29"/>
      <c r="H428" s="29"/>
      <c r="I428" s="29"/>
      <c r="J428" s="29"/>
      <c r="K428" s="29"/>
      <c r="L428" s="29"/>
    </row>
    <row r="429" spans="1:12" ht="14.25" customHeight="1" x14ac:dyDescent="0.3">
      <c r="A429" s="40"/>
      <c r="B429" s="29"/>
      <c r="C429" s="29"/>
      <c r="D429" s="29"/>
      <c r="E429" s="29"/>
      <c r="F429" s="29"/>
      <c r="G429" s="29"/>
      <c r="H429" s="29"/>
      <c r="I429" s="29"/>
      <c r="J429" s="29"/>
      <c r="K429" s="29"/>
      <c r="L429" s="29"/>
    </row>
    <row r="430" spans="1:12" ht="14.25" customHeight="1" x14ac:dyDescent="0.3">
      <c r="A430" s="40"/>
      <c r="B430" s="29"/>
      <c r="C430" s="29"/>
      <c r="D430" s="29"/>
      <c r="E430" s="29"/>
      <c r="F430" s="29"/>
      <c r="G430" s="29"/>
      <c r="H430" s="29"/>
      <c r="I430" s="29"/>
      <c r="J430" s="29"/>
      <c r="K430" s="29"/>
      <c r="L430" s="29"/>
    </row>
    <row r="431" spans="1:12" ht="14.25" customHeight="1" x14ac:dyDescent="0.3">
      <c r="A431" s="40"/>
      <c r="B431" s="29"/>
      <c r="C431" s="29"/>
      <c r="D431" s="29"/>
      <c r="E431" s="29"/>
      <c r="F431" s="29"/>
      <c r="G431" s="29"/>
      <c r="H431" s="29"/>
      <c r="I431" s="29"/>
      <c r="J431" s="29"/>
      <c r="K431" s="29"/>
      <c r="L431" s="29"/>
    </row>
    <row r="432" spans="1:12" ht="14.25" customHeight="1" x14ac:dyDescent="0.3">
      <c r="A432" s="40"/>
      <c r="B432" s="29"/>
      <c r="C432" s="29"/>
      <c r="D432" s="29"/>
      <c r="E432" s="29"/>
      <c r="F432" s="29"/>
      <c r="G432" s="29"/>
      <c r="H432" s="29"/>
      <c r="I432" s="29"/>
      <c r="J432" s="29"/>
      <c r="K432" s="29"/>
      <c r="L432" s="29"/>
    </row>
    <row r="433" spans="1:12" ht="14.25" customHeight="1" x14ac:dyDescent="0.3">
      <c r="A433" s="40"/>
      <c r="B433" s="29"/>
      <c r="C433" s="29"/>
      <c r="D433" s="29"/>
      <c r="E433" s="29"/>
      <c r="F433" s="29"/>
      <c r="G433" s="29"/>
      <c r="H433" s="29"/>
      <c r="I433" s="29"/>
      <c r="J433" s="29"/>
      <c r="K433" s="29"/>
      <c r="L433" s="29"/>
    </row>
    <row r="434" spans="1:12" ht="14.25" customHeight="1" x14ac:dyDescent="0.3">
      <c r="A434" s="40"/>
      <c r="B434" s="29"/>
      <c r="C434" s="29"/>
      <c r="D434" s="29"/>
      <c r="E434" s="29"/>
      <c r="F434" s="29"/>
      <c r="G434" s="29"/>
      <c r="H434" s="29"/>
      <c r="I434" s="29"/>
      <c r="J434" s="29"/>
      <c r="K434" s="29"/>
      <c r="L434" s="29"/>
    </row>
    <row r="435" spans="1:12" ht="14.25" customHeight="1" x14ac:dyDescent="0.3">
      <c r="A435" s="40"/>
      <c r="B435" s="29"/>
      <c r="C435" s="29"/>
      <c r="D435" s="29"/>
      <c r="E435" s="29"/>
      <c r="F435" s="29"/>
      <c r="G435" s="29"/>
      <c r="H435" s="29"/>
      <c r="I435" s="29"/>
      <c r="J435" s="29"/>
      <c r="K435" s="29"/>
      <c r="L435" s="29"/>
    </row>
    <row r="436" spans="1:12" ht="14.25" customHeight="1" x14ac:dyDescent="0.3">
      <c r="A436" s="40"/>
      <c r="B436" s="29"/>
      <c r="C436" s="29"/>
      <c r="D436" s="29"/>
      <c r="E436" s="29"/>
      <c r="F436" s="29"/>
      <c r="G436" s="29"/>
      <c r="H436" s="29"/>
      <c r="I436" s="29"/>
      <c r="J436" s="29"/>
      <c r="K436" s="29"/>
      <c r="L436" s="29"/>
    </row>
    <row r="437" spans="1:12" ht="14.25" customHeight="1" x14ac:dyDescent="0.3">
      <c r="A437" s="40"/>
      <c r="B437" s="29"/>
      <c r="C437" s="29"/>
      <c r="D437" s="29"/>
      <c r="E437" s="29"/>
      <c r="F437" s="29"/>
      <c r="G437" s="29"/>
      <c r="H437" s="29"/>
      <c r="I437" s="29"/>
      <c r="J437" s="29"/>
      <c r="K437" s="29"/>
      <c r="L437" s="29"/>
    </row>
    <row r="438" spans="1:12" ht="14.25" customHeight="1" x14ac:dyDescent="0.3">
      <c r="A438" s="40"/>
      <c r="B438" s="29"/>
      <c r="C438" s="29"/>
      <c r="D438" s="29"/>
      <c r="E438" s="29"/>
      <c r="F438" s="29"/>
      <c r="G438" s="29"/>
      <c r="H438" s="29"/>
      <c r="I438" s="29"/>
      <c r="J438" s="29"/>
      <c r="K438" s="29"/>
      <c r="L438" s="29"/>
    </row>
    <row r="439" spans="1:12" ht="14.25" customHeight="1" x14ac:dyDescent="0.3">
      <c r="A439" s="40"/>
      <c r="B439" s="29"/>
      <c r="C439" s="29"/>
      <c r="D439" s="29"/>
      <c r="E439" s="29"/>
      <c r="F439" s="29"/>
      <c r="G439" s="29"/>
      <c r="H439" s="29"/>
      <c r="I439" s="29"/>
      <c r="J439" s="29"/>
      <c r="K439" s="29"/>
      <c r="L439" s="29"/>
    </row>
    <row r="440" spans="1:12" ht="14.25" customHeight="1" x14ac:dyDescent="0.3">
      <c r="A440" s="40"/>
      <c r="B440" s="29"/>
      <c r="C440" s="29"/>
      <c r="D440" s="29"/>
      <c r="E440" s="29"/>
      <c r="F440" s="29"/>
      <c r="G440" s="29"/>
      <c r="H440" s="29"/>
      <c r="I440" s="29"/>
      <c r="J440" s="29"/>
      <c r="K440" s="29"/>
      <c r="L440" s="29"/>
    </row>
    <row r="441" spans="1:12" ht="14.25" customHeight="1" x14ac:dyDescent="0.3">
      <c r="A441" s="40"/>
      <c r="B441" s="29"/>
      <c r="C441" s="29"/>
      <c r="D441" s="29"/>
      <c r="E441" s="29"/>
      <c r="F441" s="29"/>
      <c r="G441" s="29"/>
      <c r="H441" s="29"/>
      <c r="I441" s="29"/>
      <c r="J441" s="29"/>
      <c r="K441" s="29"/>
      <c r="L441" s="29"/>
    </row>
    <row r="442" spans="1:12" ht="14.25" customHeight="1" x14ac:dyDescent="0.3">
      <c r="A442" s="40"/>
      <c r="B442" s="29"/>
      <c r="C442" s="29"/>
      <c r="D442" s="29"/>
      <c r="E442" s="29"/>
      <c r="F442" s="29"/>
      <c r="G442" s="29"/>
      <c r="H442" s="29"/>
      <c r="I442" s="29"/>
      <c r="J442" s="29"/>
      <c r="K442" s="29"/>
      <c r="L442" s="29"/>
    </row>
    <row r="443" spans="1:12" ht="14.25" customHeight="1" x14ac:dyDescent="0.3">
      <c r="A443" s="40"/>
      <c r="B443" s="29"/>
      <c r="C443" s="29"/>
      <c r="D443" s="29"/>
      <c r="E443" s="29"/>
      <c r="F443" s="29"/>
      <c r="G443" s="29"/>
      <c r="H443" s="29"/>
      <c r="I443" s="29"/>
      <c r="J443" s="29"/>
      <c r="K443" s="29"/>
      <c r="L443" s="29"/>
    </row>
    <row r="444" spans="1:12" ht="14.25" customHeight="1" x14ac:dyDescent="0.3">
      <c r="A444" s="40"/>
      <c r="B444" s="29"/>
      <c r="C444" s="29"/>
      <c r="D444" s="29"/>
      <c r="E444" s="29"/>
      <c r="F444" s="29"/>
      <c r="G444" s="29"/>
      <c r="H444" s="29"/>
      <c r="I444" s="29"/>
      <c r="J444" s="29"/>
      <c r="K444" s="29"/>
      <c r="L444" s="29"/>
    </row>
    <row r="445" spans="1:12" ht="14.25" customHeight="1" x14ac:dyDescent="0.3">
      <c r="A445" s="40"/>
      <c r="B445" s="29"/>
      <c r="C445" s="29"/>
      <c r="D445" s="29"/>
      <c r="E445" s="29"/>
      <c r="F445" s="29"/>
      <c r="G445" s="29"/>
      <c r="H445" s="29"/>
      <c r="I445" s="29"/>
      <c r="J445" s="29"/>
      <c r="K445" s="29"/>
      <c r="L445" s="29"/>
    </row>
    <row r="446" spans="1:12" ht="14.25" customHeight="1" x14ac:dyDescent="0.3">
      <c r="A446" s="40"/>
      <c r="B446" s="29"/>
      <c r="C446" s="29"/>
      <c r="D446" s="29"/>
      <c r="E446" s="29"/>
      <c r="F446" s="29"/>
      <c r="G446" s="29"/>
      <c r="H446" s="29"/>
      <c r="I446" s="29"/>
      <c r="J446" s="29"/>
      <c r="K446" s="29"/>
      <c r="L446" s="29"/>
    </row>
    <row r="447" spans="1:12" ht="14.25" customHeight="1" x14ac:dyDescent="0.3">
      <c r="A447" s="40"/>
      <c r="B447" s="29"/>
      <c r="C447" s="29"/>
      <c r="D447" s="29"/>
      <c r="E447" s="29"/>
      <c r="F447" s="29"/>
      <c r="G447" s="29"/>
      <c r="H447" s="29"/>
      <c r="I447" s="29"/>
      <c r="J447" s="29"/>
      <c r="K447" s="29"/>
      <c r="L447" s="29"/>
    </row>
    <row r="448" spans="1:12" ht="14.25" customHeight="1" x14ac:dyDescent="0.3">
      <c r="A448" s="40"/>
      <c r="B448" s="29"/>
      <c r="C448" s="29"/>
      <c r="D448" s="29"/>
      <c r="E448" s="29"/>
      <c r="F448" s="29"/>
      <c r="G448" s="29"/>
      <c r="H448" s="29"/>
      <c r="I448" s="29"/>
      <c r="J448" s="29"/>
      <c r="K448" s="29"/>
      <c r="L448" s="29"/>
    </row>
    <row r="449" spans="1:12" ht="14.25" customHeight="1" x14ac:dyDescent="0.3">
      <c r="A449" s="40"/>
      <c r="B449" s="29"/>
      <c r="C449" s="29"/>
      <c r="D449" s="29"/>
      <c r="E449" s="29"/>
      <c r="F449" s="29"/>
      <c r="G449" s="29"/>
      <c r="H449" s="29"/>
      <c r="I449" s="29"/>
      <c r="J449" s="29"/>
      <c r="K449" s="29"/>
      <c r="L449" s="29"/>
    </row>
    <row r="450" spans="1:12" ht="14.25" customHeight="1" x14ac:dyDescent="0.3">
      <c r="A450" s="40"/>
      <c r="B450" s="29"/>
      <c r="C450" s="29"/>
      <c r="D450" s="29"/>
      <c r="E450" s="29"/>
      <c r="F450" s="29"/>
      <c r="G450" s="29"/>
      <c r="H450" s="29"/>
      <c r="I450" s="29"/>
      <c r="J450" s="29"/>
      <c r="K450" s="29"/>
      <c r="L450" s="29"/>
    </row>
    <row r="451" spans="1:12" ht="14.25" customHeight="1" x14ac:dyDescent="0.3">
      <c r="A451" s="40"/>
      <c r="B451" s="29"/>
      <c r="C451" s="29"/>
      <c r="D451" s="29"/>
      <c r="E451" s="29"/>
      <c r="F451" s="29"/>
      <c r="G451" s="29"/>
      <c r="H451" s="29"/>
      <c r="I451" s="29"/>
      <c r="J451" s="29"/>
      <c r="K451" s="29"/>
      <c r="L451" s="29"/>
    </row>
    <row r="452" spans="1:12" ht="14.25" customHeight="1" x14ac:dyDescent="0.3">
      <c r="A452" s="40"/>
      <c r="B452" s="29"/>
      <c r="C452" s="29"/>
      <c r="D452" s="29"/>
      <c r="E452" s="29"/>
      <c r="F452" s="29"/>
      <c r="G452" s="29"/>
      <c r="H452" s="29"/>
      <c r="I452" s="29"/>
      <c r="J452" s="29"/>
      <c r="K452" s="29"/>
      <c r="L452" s="29"/>
    </row>
    <row r="453" spans="1:12" ht="14.25" customHeight="1" x14ac:dyDescent="0.3">
      <c r="A453" s="40"/>
      <c r="B453" s="29"/>
      <c r="C453" s="29"/>
      <c r="D453" s="29"/>
      <c r="E453" s="29"/>
      <c r="F453" s="29"/>
      <c r="G453" s="29"/>
      <c r="H453" s="29"/>
      <c r="I453" s="29"/>
      <c r="J453" s="29"/>
      <c r="K453" s="29"/>
      <c r="L453" s="29"/>
    </row>
    <row r="454" spans="1:12" ht="14.25" customHeight="1" x14ac:dyDescent="0.3">
      <c r="A454" s="40"/>
      <c r="B454" s="29"/>
      <c r="C454" s="29"/>
      <c r="D454" s="29"/>
      <c r="E454" s="29"/>
      <c r="F454" s="29"/>
      <c r="G454" s="29"/>
      <c r="H454" s="29"/>
      <c r="I454" s="29"/>
      <c r="J454" s="29"/>
      <c r="K454" s="29"/>
      <c r="L454" s="29"/>
    </row>
    <row r="455" spans="1:12" ht="14.25" customHeight="1" x14ac:dyDescent="0.3">
      <c r="A455" s="40"/>
      <c r="B455" s="29"/>
      <c r="C455" s="29"/>
      <c r="D455" s="29"/>
      <c r="E455" s="29"/>
      <c r="F455" s="29"/>
      <c r="G455" s="29"/>
      <c r="H455" s="29"/>
      <c r="I455" s="29"/>
      <c r="J455" s="29"/>
      <c r="K455" s="29"/>
      <c r="L455" s="29"/>
    </row>
    <row r="456" spans="1:12" ht="14.25" customHeight="1" x14ac:dyDescent="0.3">
      <c r="A456" s="40"/>
      <c r="B456" s="29"/>
      <c r="C456" s="29"/>
      <c r="D456" s="29"/>
      <c r="E456" s="29"/>
      <c r="F456" s="29"/>
      <c r="G456" s="29"/>
      <c r="H456" s="29"/>
      <c r="I456" s="29"/>
      <c r="J456" s="29"/>
      <c r="K456" s="29"/>
      <c r="L456" s="29"/>
    </row>
    <row r="457" spans="1:12" ht="14.25" customHeight="1" x14ac:dyDescent="0.3">
      <c r="A457" s="40"/>
      <c r="B457" s="29"/>
      <c r="C457" s="29"/>
      <c r="D457" s="29"/>
      <c r="E457" s="29"/>
      <c r="F457" s="29"/>
      <c r="G457" s="29"/>
      <c r="H457" s="29"/>
      <c r="I457" s="29"/>
      <c r="J457" s="29"/>
      <c r="K457" s="29"/>
      <c r="L457" s="29"/>
    </row>
    <row r="458" spans="1:12" ht="14.25" customHeight="1" x14ac:dyDescent="0.3">
      <c r="A458" s="40"/>
      <c r="B458" s="29"/>
      <c r="C458" s="29"/>
      <c r="D458" s="29"/>
      <c r="E458" s="29"/>
      <c r="F458" s="29"/>
      <c r="G458" s="29"/>
      <c r="H458" s="29"/>
      <c r="I458" s="29"/>
      <c r="J458" s="29"/>
      <c r="K458" s="29"/>
      <c r="L458" s="29"/>
    </row>
    <row r="459" spans="1:12" ht="14.25" customHeight="1" x14ac:dyDescent="0.3">
      <c r="A459" s="40"/>
      <c r="B459" s="29"/>
      <c r="C459" s="29"/>
      <c r="D459" s="29"/>
      <c r="E459" s="29"/>
      <c r="F459" s="29"/>
      <c r="G459" s="29"/>
      <c r="H459" s="29"/>
      <c r="I459" s="29"/>
      <c r="J459" s="29"/>
      <c r="K459" s="29"/>
      <c r="L459" s="29"/>
    </row>
    <row r="460" spans="1:12" ht="14.25" customHeight="1" x14ac:dyDescent="0.3">
      <c r="A460" s="40"/>
      <c r="B460" s="29"/>
      <c r="C460" s="29"/>
      <c r="D460" s="29"/>
      <c r="E460" s="29"/>
      <c r="F460" s="29"/>
      <c r="G460" s="29"/>
      <c r="H460" s="29"/>
      <c r="I460" s="29"/>
      <c r="J460" s="29"/>
      <c r="K460" s="29"/>
      <c r="L460" s="29"/>
    </row>
    <row r="461" spans="1:12" ht="14.25" customHeight="1" x14ac:dyDescent="0.3">
      <c r="A461" s="40"/>
      <c r="B461" s="29"/>
      <c r="C461" s="29"/>
      <c r="D461" s="29"/>
      <c r="E461" s="29"/>
      <c r="F461" s="29"/>
      <c r="G461" s="29"/>
      <c r="H461" s="29"/>
      <c r="I461" s="29"/>
      <c r="J461" s="29"/>
      <c r="K461" s="29"/>
      <c r="L461" s="29"/>
    </row>
    <row r="462" spans="1:12" ht="14.25" customHeight="1" x14ac:dyDescent="0.3">
      <c r="A462" s="40"/>
      <c r="B462" s="29"/>
      <c r="C462" s="29"/>
      <c r="D462" s="29"/>
      <c r="E462" s="29"/>
      <c r="F462" s="29"/>
      <c r="G462" s="29"/>
      <c r="H462" s="29"/>
      <c r="I462" s="29"/>
      <c r="J462" s="29"/>
      <c r="K462" s="29"/>
      <c r="L462" s="29"/>
    </row>
    <row r="463" spans="1:12" ht="14.25" customHeight="1" x14ac:dyDescent="0.3">
      <c r="A463" s="40"/>
      <c r="B463" s="29"/>
      <c r="C463" s="29"/>
      <c r="D463" s="29"/>
      <c r="E463" s="29"/>
      <c r="F463" s="29"/>
      <c r="G463" s="29"/>
      <c r="H463" s="29"/>
      <c r="I463" s="29"/>
      <c r="J463" s="29"/>
      <c r="K463" s="29"/>
      <c r="L463" s="29"/>
    </row>
    <row r="464" spans="1:12" ht="14.25" customHeight="1" x14ac:dyDescent="0.3">
      <c r="A464" s="40"/>
      <c r="B464" s="29"/>
      <c r="C464" s="29"/>
      <c r="D464" s="29"/>
      <c r="E464" s="29"/>
      <c r="F464" s="29"/>
      <c r="G464" s="29"/>
      <c r="H464" s="29"/>
      <c r="I464" s="29"/>
      <c r="J464" s="29"/>
      <c r="K464" s="29"/>
      <c r="L464" s="29"/>
    </row>
    <row r="465" spans="1:12" ht="14.25" customHeight="1" x14ac:dyDescent="0.3">
      <c r="A465" s="40"/>
      <c r="B465" s="29"/>
      <c r="C465" s="29"/>
      <c r="D465" s="29"/>
      <c r="E465" s="29"/>
      <c r="F465" s="29"/>
      <c r="G465" s="29"/>
      <c r="H465" s="29"/>
      <c r="I465" s="29"/>
      <c r="J465" s="29"/>
      <c r="K465" s="29"/>
      <c r="L465" s="29"/>
    </row>
    <row r="466" spans="1:12" ht="14.25" customHeight="1" x14ac:dyDescent="0.3">
      <c r="A466" s="40"/>
      <c r="B466" s="29"/>
      <c r="C466" s="29"/>
      <c r="D466" s="29"/>
      <c r="E466" s="29"/>
      <c r="F466" s="29"/>
      <c r="G466" s="29"/>
      <c r="H466" s="29"/>
      <c r="I466" s="29"/>
      <c r="J466" s="29"/>
      <c r="K466" s="29"/>
      <c r="L466" s="29"/>
    </row>
    <row r="467" spans="1:12" ht="14.25" customHeight="1" x14ac:dyDescent="0.3">
      <c r="A467" s="40"/>
      <c r="B467" s="29"/>
      <c r="C467" s="29"/>
      <c r="D467" s="29"/>
      <c r="E467" s="29"/>
      <c r="F467" s="29"/>
      <c r="G467" s="29"/>
      <c r="H467" s="29"/>
      <c r="I467" s="29"/>
      <c r="J467" s="29"/>
      <c r="K467" s="29"/>
      <c r="L467" s="29"/>
    </row>
    <row r="468" spans="1:12" ht="14.25" customHeight="1" x14ac:dyDescent="0.3">
      <c r="A468" s="40"/>
      <c r="B468" s="29"/>
      <c r="C468" s="29"/>
      <c r="D468" s="29"/>
      <c r="E468" s="29"/>
      <c r="F468" s="29"/>
      <c r="G468" s="29"/>
      <c r="H468" s="29"/>
      <c r="I468" s="29"/>
      <c r="J468" s="29"/>
      <c r="K468" s="29"/>
      <c r="L468" s="29"/>
    </row>
    <row r="469" spans="1:12" ht="14.25" customHeight="1" x14ac:dyDescent="0.3">
      <c r="A469" s="40"/>
      <c r="B469" s="29"/>
      <c r="C469" s="29"/>
      <c r="D469" s="29"/>
      <c r="E469" s="29"/>
      <c r="F469" s="29"/>
      <c r="G469" s="29"/>
      <c r="H469" s="29"/>
      <c r="I469" s="29"/>
      <c r="J469" s="29"/>
      <c r="K469" s="29"/>
      <c r="L469" s="29"/>
    </row>
    <row r="470" spans="1:12" ht="14.25" customHeight="1" x14ac:dyDescent="0.3">
      <c r="A470" s="40"/>
      <c r="B470" s="29"/>
      <c r="C470" s="29"/>
      <c r="D470" s="29"/>
      <c r="E470" s="29"/>
      <c r="F470" s="29"/>
      <c r="G470" s="29"/>
      <c r="H470" s="29"/>
      <c r="I470" s="29"/>
      <c r="J470" s="29"/>
      <c r="K470" s="29"/>
      <c r="L470" s="29"/>
    </row>
    <row r="471" spans="1:12" ht="14.25" customHeight="1" x14ac:dyDescent="0.3">
      <c r="A471" s="40"/>
      <c r="B471" s="29"/>
      <c r="C471" s="29"/>
      <c r="D471" s="29"/>
      <c r="E471" s="29"/>
      <c r="F471" s="29"/>
      <c r="G471" s="29"/>
      <c r="H471" s="29"/>
      <c r="I471" s="29"/>
      <c r="J471" s="29"/>
      <c r="K471" s="29"/>
      <c r="L471" s="29"/>
    </row>
    <row r="472" spans="1:12" ht="14.25" customHeight="1" x14ac:dyDescent="0.3">
      <c r="A472" s="40"/>
      <c r="B472" s="29"/>
      <c r="C472" s="29"/>
      <c r="D472" s="29"/>
      <c r="E472" s="29"/>
      <c r="F472" s="29"/>
      <c r="G472" s="29"/>
      <c r="H472" s="29"/>
      <c r="I472" s="29"/>
      <c r="J472" s="29"/>
      <c r="K472" s="29"/>
      <c r="L472" s="29"/>
    </row>
    <row r="473" spans="1:12" ht="14.25" customHeight="1" x14ac:dyDescent="0.3">
      <c r="A473" s="40"/>
      <c r="B473" s="29"/>
      <c r="C473" s="29"/>
      <c r="D473" s="29"/>
      <c r="E473" s="29"/>
      <c r="F473" s="29"/>
      <c r="G473" s="29"/>
      <c r="H473" s="29"/>
      <c r="I473" s="29"/>
      <c r="J473" s="29"/>
      <c r="K473" s="29"/>
      <c r="L473" s="29"/>
    </row>
    <row r="474" spans="1:12" ht="14.25" customHeight="1" x14ac:dyDescent="0.3">
      <c r="A474" s="40"/>
      <c r="B474" s="29"/>
      <c r="C474" s="29"/>
      <c r="D474" s="29"/>
      <c r="E474" s="29"/>
      <c r="F474" s="29"/>
      <c r="G474" s="29"/>
      <c r="H474" s="29"/>
      <c r="I474" s="29"/>
      <c r="J474" s="29"/>
      <c r="K474" s="29"/>
      <c r="L474" s="29"/>
    </row>
    <row r="475" spans="1:12" ht="14.25" customHeight="1" x14ac:dyDescent="0.3">
      <c r="A475" s="40"/>
      <c r="B475" s="29"/>
      <c r="C475" s="29"/>
      <c r="D475" s="29"/>
      <c r="E475" s="29"/>
      <c r="F475" s="29"/>
      <c r="G475" s="29"/>
      <c r="H475" s="29"/>
      <c r="I475" s="29"/>
      <c r="J475" s="29"/>
      <c r="K475" s="29"/>
      <c r="L475" s="29"/>
    </row>
    <row r="476" spans="1:12" ht="14.25" customHeight="1" x14ac:dyDescent="0.3">
      <c r="A476" s="40"/>
      <c r="B476" s="29"/>
      <c r="C476" s="29"/>
      <c r="D476" s="29"/>
      <c r="E476" s="29"/>
      <c r="F476" s="29"/>
      <c r="G476" s="29"/>
      <c r="H476" s="29"/>
      <c r="I476" s="29"/>
      <c r="J476" s="29"/>
      <c r="K476" s="29"/>
      <c r="L476" s="29"/>
    </row>
    <row r="477" spans="1:12" ht="14.25" customHeight="1" x14ac:dyDescent="0.3">
      <c r="A477" s="40"/>
      <c r="B477" s="29"/>
      <c r="C477" s="29"/>
      <c r="D477" s="29"/>
      <c r="E477" s="29"/>
      <c r="F477" s="29"/>
      <c r="G477" s="29"/>
      <c r="H477" s="29"/>
      <c r="I477" s="29"/>
      <c r="J477" s="29"/>
      <c r="K477" s="29"/>
      <c r="L477" s="29"/>
    </row>
    <row r="478" spans="1:12" ht="14.25" customHeight="1" x14ac:dyDescent="0.3">
      <c r="A478" s="40"/>
      <c r="B478" s="29"/>
      <c r="C478" s="29"/>
      <c r="D478" s="29"/>
      <c r="E478" s="29"/>
      <c r="F478" s="29"/>
      <c r="G478" s="29"/>
      <c r="H478" s="29"/>
      <c r="I478" s="29"/>
      <c r="J478" s="29"/>
      <c r="K478" s="29"/>
      <c r="L478" s="29"/>
    </row>
    <row r="479" spans="1:12" ht="14.25" customHeight="1" x14ac:dyDescent="0.3">
      <c r="A479" s="40"/>
      <c r="B479" s="29"/>
      <c r="C479" s="29"/>
      <c r="D479" s="29"/>
      <c r="E479" s="29"/>
      <c r="F479" s="29"/>
      <c r="G479" s="29"/>
      <c r="H479" s="29"/>
      <c r="I479" s="29"/>
      <c r="J479" s="29"/>
      <c r="K479" s="29"/>
      <c r="L479" s="29"/>
    </row>
    <row r="480" spans="1:12" ht="14.25" customHeight="1" x14ac:dyDescent="0.3">
      <c r="A480" s="40"/>
      <c r="B480" s="29"/>
      <c r="C480" s="29"/>
      <c r="D480" s="29"/>
      <c r="E480" s="29"/>
      <c r="F480" s="29"/>
      <c r="G480" s="29"/>
      <c r="H480" s="29"/>
      <c r="I480" s="29"/>
      <c r="J480" s="29"/>
      <c r="K480" s="29"/>
      <c r="L480" s="29"/>
    </row>
    <row r="481" spans="1:12" ht="14.25" customHeight="1" x14ac:dyDescent="0.3">
      <c r="A481" s="40"/>
      <c r="B481" s="29"/>
      <c r="C481" s="29"/>
      <c r="D481" s="29"/>
      <c r="E481" s="29"/>
      <c r="F481" s="29"/>
      <c r="G481" s="29"/>
      <c r="H481" s="29"/>
      <c r="I481" s="29"/>
      <c r="J481" s="29"/>
      <c r="K481" s="29"/>
      <c r="L481" s="29"/>
    </row>
    <row r="482" spans="1:12" ht="14.25" customHeight="1" x14ac:dyDescent="0.3">
      <c r="A482" s="40"/>
      <c r="B482" s="29"/>
      <c r="C482" s="29"/>
      <c r="D482" s="29"/>
      <c r="E482" s="29"/>
      <c r="F482" s="29"/>
      <c r="G482" s="29"/>
      <c r="H482" s="29"/>
      <c r="I482" s="29"/>
      <c r="J482" s="29"/>
      <c r="K482" s="29"/>
      <c r="L482" s="29"/>
    </row>
    <row r="483" spans="1:12" ht="14.25" customHeight="1" x14ac:dyDescent="0.3">
      <c r="A483" s="40"/>
      <c r="B483" s="29"/>
      <c r="C483" s="29"/>
      <c r="D483" s="29"/>
      <c r="E483" s="29"/>
      <c r="F483" s="29"/>
      <c r="G483" s="29"/>
      <c r="H483" s="29"/>
      <c r="I483" s="29"/>
      <c r="J483" s="29"/>
      <c r="K483" s="29"/>
      <c r="L483" s="29"/>
    </row>
    <row r="484" spans="1:12" ht="14.25" customHeight="1" x14ac:dyDescent="0.3">
      <c r="A484" s="40"/>
      <c r="B484" s="29"/>
      <c r="C484" s="29"/>
      <c r="D484" s="29"/>
      <c r="E484" s="29"/>
      <c r="F484" s="29"/>
      <c r="G484" s="29"/>
      <c r="H484" s="29"/>
      <c r="I484" s="29"/>
      <c r="J484" s="29"/>
      <c r="K484" s="29"/>
      <c r="L484" s="29"/>
    </row>
    <row r="485" spans="1:12" ht="14.25" customHeight="1" x14ac:dyDescent="0.3">
      <c r="A485" s="40"/>
      <c r="B485" s="29"/>
      <c r="C485" s="29"/>
      <c r="D485" s="29"/>
      <c r="E485" s="29"/>
      <c r="F485" s="29"/>
      <c r="G485" s="29"/>
      <c r="H485" s="29"/>
      <c r="I485" s="29"/>
      <c r="J485" s="29"/>
      <c r="K485" s="29"/>
      <c r="L485" s="29"/>
    </row>
    <row r="486" spans="1:12" ht="14.25" customHeight="1" x14ac:dyDescent="0.3">
      <c r="A486" s="40"/>
      <c r="B486" s="29"/>
      <c r="C486" s="29"/>
      <c r="D486" s="29"/>
      <c r="E486" s="29"/>
      <c r="F486" s="29"/>
      <c r="G486" s="29"/>
      <c r="H486" s="29"/>
      <c r="I486" s="29"/>
      <c r="J486" s="29"/>
      <c r="K486" s="29"/>
      <c r="L486" s="29"/>
    </row>
    <row r="487" spans="1:12" ht="14.25" customHeight="1" x14ac:dyDescent="0.3">
      <c r="A487" s="40"/>
      <c r="B487" s="29"/>
      <c r="C487" s="29"/>
      <c r="D487" s="29"/>
      <c r="E487" s="29"/>
      <c r="F487" s="29"/>
      <c r="G487" s="29"/>
      <c r="H487" s="29"/>
      <c r="I487" s="29"/>
      <c r="J487" s="29"/>
      <c r="K487" s="29"/>
      <c r="L487" s="29"/>
    </row>
    <row r="488" spans="1:12" ht="14.25" customHeight="1" x14ac:dyDescent="0.3">
      <c r="A488" s="40"/>
      <c r="B488" s="29"/>
      <c r="C488" s="29"/>
      <c r="D488" s="29"/>
      <c r="E488" s="29"/>
      <c r="F488" s="29"/>
      <c r="G488" s="29"/>
      <c r="H488" s="29"/>
      <c r="I488" s="29"/>
      <c r="J488" s="29"/>
      <c r="K488" s="29"/>
      <c r="L488" s="29"/>
    </row>
    <row r="489" spans="1:12" ht="14.25" customHeight="1" x14ac:dyDescent="0.3">
      <c r="A489" s="40"/>
      <c r="B489" s="29"/>
      <c r="C489" s="29"/>
      <c r="D489" s="29"/>
      <c r="E489" s="29"/>
      <c r="F489" s="29"/>
      <c r="G489" s="29"/>
      <c r="H489" s="29"/>
      <c r="I489" s="29"/>
      <c r="J489" s="29"/>
      <c r="K489" s="29"/>
      <c r="L489" s="29"/>
    </row>
    <row r="490" spans="1:12" ht="14.25" customHeight="1" x14ac:dyDescent="0.3">
      <c r="A490" s="40"/>
      <c r="B490" s="29"/>
      <c r="C490" s="29"/>
      <c r="D490" s="29"/>
      <c r="E490" s="29"/>
      <c r="F490" s="29"/>
      <c r="G490" s="29"/>
      <c r="H490" s="29"/>
      <c r="I490" s="29"/>
      <c r="J490" s="29"/>
      <c r="K490" s="29"/>
      <c r="L490" s="29"/>
    </row>
    <row r="491" spans="1:12" ht="14.25" customHeight="1" x14ac:dyDescent="0.3">
      <c r="A491" s="40"/>
      <c r="B491" s="29"/>
      <c r="C491" s="29"/>
      <c r="D491" s="29"/>
      <c r="E491" s="29"/>
      <c r="F491" s="29"/>
      <c r="G491" s="29"/>
      <c r="H491" s="29"/>
      <c r="I491" s="29"/>
      <c r="J491" s="29"/>
      <c r="K491" s="29"/>
      <c r="L491" s="29"/>
    </row>
    <row r="492" spans="1:12" ht="14.25" customHeight="1" x14ac:dyDescent="0.3">
      <c r="A492" s="40"/>
      <c r="B492" s="29"/>
      <c r="C492" s="29"/>
      <c r="D492" s="29"/>
      <c r="E492" s="29"/>
      <c r="F492" s="29"/>
      <c r="G492" s="29"/>
      <c r="H492" s="29"/>
      <c r="I492" s="29"/>
      <c r="J492" s="29"/>
      <c r="K492" s="29"/>
      <c r="L492" s="29"/>
    </row>
    <row r="493" spans="1:12" ht="14.25" customHeight="1" x14ac:dyDescent="0.3">
      <c r="A493" s="40"/>
      <c r="B493" s="29"/>
      <c r="C493" s="29"/>
      <c r="D493" s="29"/>
      <c r="E493" s="29"/>
      <c r="F493" s="29"/>
      <c r="G493" s="29"/>
      <c r="H493" s="29"/>
      <c r="I493" s="29"/>
      <c r="J493" s="29"/>
      <c r="K493" s="29"/>
      <c r="L493" s="29"/>
    </row>
    <row r="494" spans="1:12" ht="14.25" customHeight="1" x14ac:dyDescent="0.3">
      <c r="A494" s="40"/>
      <c r="B494" s="29"/>
      <c r="C494" s="29"/>
      <c r="D494" s="29"/>
      <c r="E494" s="29"/>
      <c r="F494" s="29"/>
      <c r="G494" s="29"/>
      <c r="H494" s="29"/>
      <c r="I494" s="29"/>
      <c r="J494" s="29"/>
      <c r="K494" s="29"/>
      <c r="L494" s="29"/>
    </row>
    <row r="495" spans="1:12" ht="14.25" customHeight="1" x14ac:dyDescent="0.3">
      <c r="A495" s="40"/>
      <c r="B495" s="29"/>
      <c r="C495" s="29"/>
      <c r="D495" s="29"/>
      <c r="E495" s="29"/>
      <c r="F495" s="29"/>
      <c r="G495" s="29"/>
      <c r="H495" s="29"/>
      <c r="I495" s="29"/>
      <c r="J495" s="29"/>
      <c r="K495" s="29"/>
      <c r="L495" s="29"/>
    </row>
    <row r="496" spans="1:12" ht="14.25" customHeight="1" x14ac:dyDescent="0.3">
      <c r="A496" s="40"/>
      <c r="B496" s="29"/>
      <c r="C496" s="29"/>
      <c r="D496" s="29"/>
      <c r="E496" s="29"/>
      <c r="F496" s="29"/>
      <c r="G496" s="29"/>
      <c r="H496" s="29"/>
      <c r="I496" s="29"/>
      <c r="J496" s="29"/>
      <c r="K496" s="29"/>
      <c r="L496" s="29"/>
    </row>
    <row r="497" spans="1:12" ht="14.25" customHeight="1" x14ac:dyDescent="0.3">
      <c r="A497" s="40"/>
      <c r="B497" s="29"/>
      <c r="C497" s="29"/>
      <c r="D497" s="29"/>
      <c r="E497" s="29"/>
      <c r="F497" s="29"/>
      <c r="G497" s="29"/>
      <c r="H497" s="29"/>
      <c r="I497" s="29"/>
      <c r="J497" s="29"/>
      <c r="K497" s="29"/>
      <c r="L497" s="29"/>
    </row>
    <row r="498" spans="1:12" ht="14.25" customHeight="1" x14ac:dyDescent="0.3">
      <c r="A498" s="40"/>
      <c r="B498" s="29"/>
      <c r="C498" s="29"/>
      <c r="D498" s="29"/>
      <c r="E498" s="29"/>
      <c r="F498" s="29"/>
      <c r="G498" s="29"/>
      <c r="H498" s="29"/>
      <c r="I498" s="29"/>
      <c r="J498" s="29"/>
      <c r="K498" s="29"/>
      <c r="L498" s="29"/>
    </row>
    <row r="499" spans="1:12" ht="14.25" customHeight="1" x14ac:dyDescent="0.3">
      <c r="A499" s="40"/>
      <c r="B499" s="29"/>
      <c r="C499" s="29"/>
      <c r="D499" s="29"/>
      <c r="E499" s="29"/>
      <c r="F499" s="29"/>
      <c r="G499" s="29"/>
      <c r="H499" s="29"/>
      <c r="I499" s="29"/>
      <c r="J499" s="29"/>
      <c r="K499" s="29"/>
      <c r="L499" s="29"/>
    </row>
    <row r="500" spans="1:12" ht="14.25" customHeight="1" x14ac:dyDescent="0.3">
      <c r="A500" s="40"/>
      <c r="B500" s="29"/>
      <c r="C500" s="29"/>
      <c r="D500" s="29"/>
      <c r="E500" s="29"/>
      <c r="F500" s="29"/>
      <c r="G500" s="29"/>
      <c r="H500" s="29"/>
      <c r="I500" s="29"/>
      <c r="J500" s="29"/>
      <c r="K500" s="29"/>
      <c r="L500" s="29"/>
    </row>
    <row r="501" spans="1:12" ht="14.25" customHeight="1" x14ac:dyDescent="0.3">
      <c r="A501" s="40"/>
      <c r="B501" s="29"/>
      <c r="C501" s="29"/>
      <c r="D501" s="29"/>
      <c r="E501" s="29"/>
      <c r="F501" s="29"/>
      <c r="G501" s="29"/>
      <c r="H501" s="29"/>
      <c r="I501" s="29"/>
      <c r="J501" s="29"/>
      <c r="K501" s="29"/>
      <c r="L501" s="29"/>
    </row>
    <row r="502" spans="1:12" ht="14.25" customHeight="1" x14ac:dyDescent="0.3">
      <c r="A502" s="40"/>
      <c r="B502" s="29"/>
      <c r="C502" s="29"/>
      <c r="D502" s="29"/>
      <c r="E502" s="29"/>
      <c r="F502" s="29"/>
      <c r="G502" s="29"/>
      <c r="H502" s="29"/>
      <c r="I502" s="29"/>
      <c r="J502" s="29"/>
      <c r="K502" s="29"/>
      <c r="L502" s="29"/>
    </row>
    <row r="503" spans="1:12" ht="14.25" customHeight="1" x14ac:dyDescent="0.3">
      <c r="A503" s="40"/>
      <c r="B503" s="29"/>
      <c r="C503" s="29"/>
      <c r="D503" s="29"/>
      <c r="E503" s="29"/>
      <c r="F503" s="29"/>
      <c r="G503" s="29"/>
      <c r="H503" s="29"/>
      <c r="I503" s="29"/>
      <c r="J503" s="29"/>
      <c r="K503" s="29"/>
      <c r="L503" s="29"/>
    </row>
    <row r="504" spans="1:12" ht="14.25" customHeight="1" x14ac:dyDescent="0.3">
      <c r="A504" s="40"/>
      <c r="B504" s="29"/>
      <c r="C504" s="29"/>
      <c r="D504" s="29"/>
      <c r="E504" s="29"/>
      <c r="F504" s="29"/>
      <c r="G504" s="29"/>
      <c r="H504" s="29"/>
      <c r="I504" s="29"/>
      <c r="J504" s="29"/>
      <c r="K504" s="29"/>
      <c r="L504" s="29"/>
    </row>
    <row r="505" spans="1:12" ht="14.25" customHeight="1" x14ac:dyDescent="0.3">
      <c r="A505" s="40"/>
      <c r="B505" s="29"/>
      <c r="C505" s="29"/>
      <c r="D505" s="29"/>
      <c r="E505" s="29"/>
      <c r="F505" s="29"/>
      <c r="G505" s="29"/>
      <c r="H505" s="29"/>
      <c r="I505" s="29"/>
      <c r="J505" s="29"/>
      <c r="K505" s="29"/>
      <c r="L505" s="29"/>
    </row>
    <row r="506" spans="1:12" ht="14.25" customHeight="1" x14ac:dyDescent="0.3">
      <c r="A506" s="40"/>
      <c r="B506" s="29"/>
      <c r="C506" s="29"/>
      <c r="D506" s="29"/>
      <c r="E506" s="29"/>
      <c r="F506" s="29"/>
      <c r="G506" s="29"/>
      <c r="H506" s="29"/>
      <c r="I506" s="29"/>
      <c r="J506" s="29"/>
      <c r="K506" s="29"/>
      <c r="L506" s="29"/>
    </row>
    <row r="507" spans="1:12" ht="14.25" customHeight="1" x14ac:dyDescent="0.3">
      <c r="A507" s="40"/>
      <c r="B507" s="29"/>
      <c r="C507" s="29"/>
      <c r="D507" s="29"/>
      <c r="E507" s="29"/>
      <c r="F507" s="29"/>
      <c r="G507" s="29"/>
      <c r="H507" s="29"/>
      <c r="I507" s="29"/>
      <c r="J507" s="29"/>
      <c r="K507" s="29"/>
      <c r="L507" s="29"/>
    </row>
    <row r="508" spans="1:12" ht="14.25" customHeight="1" x14ac:dyDescent="0.3">
      <c r="A508" s="40"/>
      <c r="B508" s="29"/>
      <c r="C508" s="29"/>
      <c r="D508" s="29"/>
      <c r="E508" s="29"/>
      <c r="F508" s="29"/>
      <c r="G508" s="29"/>
      <c r="H508" s="29"/>
      <c r="I508" s="29"/>
      <c r="J508" s="29"/>
      <c r="K508" s="29"/>
      <c r="L508" s="29"/>
    </row>
    <row r="509" spans="1:12" ht="14.25" customHeight="1" x14ac:dyDescent="0.3">
      <c r="A509" s="40"/>
      <c r="B509" s="29"/>
      <c r="C509" s="29"/>
      <c r="D509" s="29"/>
      <c r="E509" s="29"/>
      <c r="F509" s="29"/>
      <c r="G509" s="29"/>
      <c r="H509" s="29"/>
      <c r="I509" s="29"/>
      <c r="J509" s="29"/>
      <c r="K509" s="29"/>
      <c r="L509" s="29"/>
    </row>
    <row r="510" spans="1:12" ht="14.25" customHeight="1" x14ac:dyDescent="0.3">
      <c r="A510" s="40"/>
      <c r="B510" s="29"/>
      <c r="C510" s="29"/>
      <c r="D510" s="29"/>
      <c r="E510" s="29"/>
      <c r="F510" s="29"/>
      <c r="G510" s="29"/>
      <c r="H510" s="29"/>
      <c r="I510" s="29"/>
      <c r="J510" s="29"/>
      <c r="K510" s="29"/>
      <c r="L510" s="29"/>
    </row>
    <row r="511" spans="1:12" ht="14.25" customHeight="1" x14ac:dyDescent="0.3">
      <c r="A511" s="40"/>
      <c r="B511" s="29"/>
      <c r="C511" s="29"/>
      <c r="D511" s="29"/>
      <c r="E511" s="29"/>
      <c r="F511" s="29"/>
      <c r="G511" s="29"/>
      <c r="H511" s="29"/>
      <c r="I511" s="29"/>
      <c r="J511" s="29"/>
      <c r="K511" s="29"/>
      <c r="L511" s="29"/>
    </row>
    <row r="512" spans="1:12" ht="14.25" customHeight="1" x14ac:dyDescent="0.3">
      <c r="A512" s="40"/>
      <c r="B512" s="29"/>
      <c r="C512" s="29"/>
      <c r="D512" s="29"/>
      <c r="E512" s="29"/>
      <c r="F512" s="29"/>
      <c r="G512" s="29"/>
      <c r="H512" s="29"/>
      <c r="I512" s="29"/>
      <c r="J512" s="29"/>
      <c r="K512" s="29"/>
      <c r="L512" s="29"/>
    </row>
    <row r="513" spans="1:12" ht="14.25" customHeight="1" x14ac:dyDescent="0.3">
      <c r="A513" s="40"/>
      <c r="B513" s="29"/>
      <c r="C513" s="29"/>
      <c r="D513" s="29"/>
      <c r="E513" s="29"/>
      <c r="F513" s="29"/>
      <c r="G513" s="29"/>
      <c r="H513" s="29"/>
      <c r="I513" s="29"/>
      <c r="J513" s="29"/>
      <c r="K513" s="29"/>
      <c r="L513" s="29"/>
    </row>
    <row r="514" spans="1:12" ht="14.25" customHeight="1" x14ac:dyDescent="0.3">
      <c r="A514" s="40"/>
      <c r="B514" s="29"/>
      <c r="C514" s="29"/>
      <c r="D514" s="29"/>
      <c r="E514" s="29"/>
      <c r="F514" s="29"/>
      <c r="G514" s="29"/>
      <c r="H514" s="29"/>
      <c r="I514" s="29"/>
      <c r="J514" s="29"/>
      <c r="K514" s="29"/>
      <c r="L514" s="29"/>
    </row>
    <row r="515" spans="1:12" ht="14.25" customHeight="1" x14ac:dyDescent="0.3">
      <c r="A515" s="40"/>
      <c r="B515" s="29"/>
      <c r="C515" s="29"/>
      <c r="D515" s="29"/>
      <c r="E515" s="29"/>
      <c r="F515" s="29"/>
      <c r="G515" s="29"/>
      <c r="H515" s="29"/>
      <c r="I515" s="29"/>
      <c r="J515" s="29"/>
      <c r="K515" s="29"/>
      <c r="L515" s="29"/>
    </row>
    <row r="516" spans="1:12" ht="14.25" customHeight="1" x14ac:dyDescent="0.3">
      <c r="A516" s="40"/>
      <c r="B516" s="29"/>
      <c r="C516" s="29"/>
      <c r="D516" s="29"/>
      <c r="E516" s="29"/>
      <c r="F516" s="29"/>
      <c r="G516" s="29"/>
      <c r="H516" s="29"/>
      <c r="I516" s="29"/>
      <c r="J516" s="29"/>
      <c r="K516" s="29"/>
      <c r="L516" s="29"/>
    </row>
    <row r="517" spans="1:12" ht="14.25" customHeight="1" x14ac:dyDescent="0.3">
      <c r="A517" s="40"/>
      <c r="B517" s="29"/>
      <c r="C517" s="29"/>
      <c r="D517" s="29"/>
      <c r="E517" s="29"/>
      <c r="F517" s="29"/>
      <c r="G517" s="29"/>
      <c r="H517" s="29"/>
      <c r="I517" s="29"/>
      <c r="J517" s="29"/>
      <c r="K517" s="29"/>
      <c r="L517" s="29"/>
    </row>
    <row r="518" spans="1:12" ht="14.25" customHeight="1" x14ac:dyDescent="0.3">
      <c r="A518" s="40"/>
      <c r="B518" s="29"/>
      <c r="C518" s="29"/>
      <c r="D518" s="29"/>
      <c r="E518" s="29"/>
      <c r="F518" s="29"/>
      <c r="G518" s="29"/>
      <c r="H518" s="29"/>
      <c r="I518" s="29"/>
      <c r="J518" s="29"/>
      <c r="K518" s="29"/>
      <c r="L518" s="29"/>
    </row>
    <row r="519" spans="1:12" ht="14.25" customHeight="1" x14ac:dyDescent="0.3">
      <c r="A519" s="40"/>
      <c r="B519" s="29"/>
      <c r="C519" s="29"/>
      <c r="D519" s="29"/>
      <c r="E519" s="29"/>
      <c r="F519" s="29"/>
      <c r="G519" s="29"/>
      <c r="H519" s="29"/>
      <c r="I519" s="29"/>
      <c r="J519" s="29"/>
      <c r="K519" s="29"/>
      <c r="L519" s="29"/>
    </row>
    <row r="520" spans="1:12" ht="14.25" customHeight="1" x14ac:dyDescent="0.3">
      <c r="A520" s="40"/>
      <c r="B520" s="29"/>
      <c r="C520" s="29"/>
      <c r="D520" s="29"/>
      <c r="E520" s="29"/>
      <c r="F520" s="29"/>
      <c r="G520" s="29"/>
      <c r="H520" s="29"/>
      <c r="I520" s="29"/>
      <c r="J520" s="29"/>
      <c r="K520" s="29"/>
      <c r="L520" s="29"/>
    </row>
    <row r="521" spans="1:12" ht="14.25" customHeight="1" x14ac:dyDescent="0.3">
      <c r="A521" s="40"/>
      <c r="B521" s="29"/>
      <c r="C521" s="29"/>
      <c r="D521" s="29"/>
      <c r="E521" s="29"/>
      <c r="F521" s="29"/>
      <c r="G521" s="29"/>
      <c r="H521" s="29"/>
      <c r="I521" s="29"/>
      <c r="J521" s="29"/>
      <c r="K521" s="29"/>
      <c r="L521" s="29"/>
    </row>
    <row r="522" spans="1:12" ht="14.25" customHeight="1" x14ac:dyDescent="0.3">
      <c r="A522" s="40"/>
      <c r="B522" s="29"/>
      <c r="C522" s="29"/>
      <c r="D522" s="29"/>
      <c r="E522" s="29"/>
      <c r="F522" s="29"/>
      <c r="G522" s="29"/>
      <c r="H522" s="29"/>
      <c r="I522" s="29"/>
      <c r="J522" s="29"/>
      <c r="K522" s="29"/>
      <c r="L522" s="29"/>
    </row>
    <row r="523" spans="1:12" ht="14.25" customHeight="1" x14ac:dyDescent="0.3">
      <c r="A523" s="40"/>
      <c r="B523" s="29"/>
      <c r="C523" s="29"/>
      <c r="D523" s="29"/>
      <c r="E523" s="29"/>
      <c r="F523" s="29"/>
      <c r="G523" s="29"/>
      <c r="H523" s="29"/>
      <c r="I523" s="29"/>
      <c r="J523" s="29"/>
      <c r="K523" s="29"/>
      <c r="L523" s="29"/>
    </row>
    <row r="524" spans="1:12" ht="14.25" customHeight="1" x14ac:dyDescent="0.3">
      <c r="A524" s="40"/>
      <c r="B524" s="29"/>
      <c r="C524" s="29"/>
      <c r="D524" s="29"/>
      <c r="E524" s="29"/>
      <c r="F524" s="29"/>
      <c r="G524" s="29"/>
      <c r="H524" s="29"/>
      <c r="I524" s="29"/>
      <c r="J524" s="29"/>
      <c r="K524" s="29"/>
      <c r="L524" s="29"/>
    </row>
    <row r="525" spans="1:12" ht="14.25" customHeight="1" x14ac:dyDescent="0.3">
      <c r="A525" s="40"/>
      <c r="B525" s="29"/>
      <c r="C525" s="29"/>
      <c r="D525" s="29"/>
      <c r="E525" s="29"/>
      <c r="F525" s="29"/>
      <c r="G525" s="29"/>
      <c r="H525" s="29"/>
      <c r="I525" s="29"/>
      <c r="J525" s="29"/>
      <c r="K525" s="29"/>
      <c r="L525" s="29"/>
    </row>
    <row r="526" spans="1:12" ht="14.25" customHeight="1" x14ac:dyDescent="0.3">
      <c r="A526" s="40"/>
      <c r="B526" s="29"/>
      <c r="C526" s="29"/>
      <c r="D526" s="29"/>
      <c r="E526" s="29"/>
      <c r="F526" s="29"/>
      <c r="G526" s="29"/>
      <c r="H526" s="29"/>
      <c r="I526" s="29"/>
      <c r="J526" s="29"/>
      <c r="K526" s="29"/>
      <c r="L526" s="29"/>
    </row>
    <row r="527" spans="1:12" ht="14.25" customHeight="1" x14ac:dyDescent="0.3">
      <c r="A527" s="40"/>
      <c r="B527" s="29"/>
      <c r="C527" s="29"/>
      <c r="D527" s="29"/>
      <c r="E527" s="29"/>
      <c r="F527" s="29"/>
      <c r="G527" s="29"/>
      <c r="H527" s="29"/>
      <c r="I527" s="29"/>
      <c r="J527" s="29"/>
      <c r="K527" s="29"/>
      <c r="L527" s="29"/>
    </row>
    <row r="528" spans="1:12" ht="14.25" customHeight="1" x14ac:dyDescent="0.3">
      <c r="A528" s="40"/>
      <c r="B528" s="29"/>
      <c r="C528" s="29"/>
      <c r="D528" s="29"/>
      <c r="E528" s="29"/>
      <c r="F528" s="29"/>
      <c r="G528" s="29"/>
      <c r="H528" s="29"/>
      <c r="I528" s="29"/>
      <c r="J528" s="29"/>
      <c r="K528" s="29"/>
      <c r="L528" s="29"/>
    </row>
    <row r="529" spans="1:12" ht="14.25" customHeight="1" x14ac:dyDescent="0.3">
      <c r="A529" s="40"/>
      <c r="B529" s="29"/>
      <c r="C529" s="29"/>
      <c r="D529" s="29"/>
      <c r="E529" s="29"/>
      <c r="F529" s="29"/>
      <c r="G529" s="29"/>
      <c r="H529" s="29"/>
      <c r="I529" s="29"/>
      <c r="J529" s="29"/>
      <c r="K529" s="29"/>
      <c r="L529" s="29"/>
    </row>
    <row r="530" spans="1:12" ht="14.25" customHeight="1" x14ac:dyDescent="0.3">
      <c r="A530" s="40"/>
      <c r="B530" s="29"/>
      <c r="C530" s="29"/>
      <c r="D530" s="29"/>
      <c r="E530" s="29"/>
      <c r="F530" s="29"/>
      <c r="G530" s="29"/>
      <c r="H530" s="29"/>
      <c r="I530" s="29"/>
      <c r="J530" s="29"/>
      <c r="K530" s="29"/>
      <c r="L530" s="29"/>
    </row>
    <row r="531" spans="1:12" ht="14.25" customHeight="1" x14ac:dyDescent="0.3">
      <c r="A531" s="40"/>
      <c r="B531" s="29"/>
      <c r="C531" s="29"/>
      <c r="D531" s="29"/>
      <c r="E531" s="29"/>
      <c r="F531" s="29"/>
      <c r="G531" s="29"/>
      <c r="H531" s="29"/>
      <c r="I531" s="29"/>
      <c r="J531" s="29"/>
      <c r="K531" s="29"/>
      <c r="L531" s="29"/>
    </row>
    <row r="532" spans="1:12" ht="14.25" customHeight="1" x14ac:dyDescent="0.3">
      <c r="A532" s="40"/>
      <c r="B532" s="29"/>
      <c r="C532" s="29"/>
      <c r="D532" s="29"/>
      <c r="E532" s="29"/>
      <c r="F532" s="29"/>
      <c r="G532" s="29"/>
      <c r="H532" s="29"/>
      <c r="I532" s="29"/>
      <c r="J532" s="29"/>
      <c r="K532" s="29"/>
      <c r="L532" s="29"/>
    </row>
    <row r="533" spans="1:12" ht="14.25" customHeight="1" x14ac:dyDescent="0.3">
      <c r="A533" s="40"/>
      <c r="B533" s="29"/>
      <c r="C533" s="29"/>
      <c r="D533" s="29"/>
      <c r="E533" s="29"/>
      <c r="F533" s="29"/>
      <c r="G533" s="29"/>
      <c r="H533" s="29"/>
      <c r="I533" s="29"/>
      <c r="J533" s="29"/>
      <c r="K533" s="29"/>
      <c r="L533" s="29"/>
    </row>
    <row r="534" spans="1:12" ht="14.25" customHeight="1" x14ac:dyDescent="0.3">
      <c r="A534" s="40"/>
      <c r="B534" s="29"/>
      <c r="C534" s="29"/>
      <c r="D534" s="29"/>
      <c r="E534" s="29"/>
      <c r="F534" s="29"/>
      <c r="G534" s="29"/>
      <c r="H534" s="29"/>
      <c r="I534" s="29"/>
      <c r="J534" s="29"/>
      <c r="K534" s="29"/>
      <c r="L534" s="29"/>
    </row>
    <row r="535" spans="1:12" ht="14.25" customHeight="1" x14ac:dyDescent="0.3">
      <c r="A535" s="40"/>
      <c r="B535" s="29"/>
      <c r="C535" s="29"/>
      <c r="D535" s="29"/>
      <c r="E535" s="29"/>
      <c r="F535" s="29"/>
      <c r="G535" s="29"/>
      <c r="H535" s="29"/>
      <c r="I535" s="29"/>
      <c r="J535" s="29"/>
      <c r="K535" s="29"/>
      <c r="L535" s="29"/>
    </row>
    <row r="536" spans="1:12" ht="14.25" customHeight="1" x14ac:dyDescent="0.3">
      <c r="A536" s="40"/>
      <c r="B536" s="29"/>
      <c r="C536" s="29"/>
      <c r="D536" s="29"/>
      <c r="E536" s="29"/>
      <c r="F536" s="29"/>
      <c r="G536" s="29"/>
      <c r="H536" s="29"/>
      <c r="I536" s="29"/>
      <c r="J536" s="29"/>
      <c r="K536" s="29"/>
      <c r="L536" s="29"/>
    </row>
    <row r="537" spans="1:12" ht="14.25" customHeight="1" x14ac:dyDescent="0.3">
      <c r="A537" s="40"/>
      <c r="B537" s="29"/>
      <c r="C537" s="29"/>
      <c r="D537" s="29"/>
      <c r="E537" s="29"/>
      <c r="F537" s="29"/>
      <c r="G537" s="29"/>
      <c r="H537" s="29"/>
      <c r="I537" s="29"/>
      <c r="J537" s="29"/>
      <c r="K537" s="29"/>
      <c r="L537" s="29"/>
    </row>
    <row r="538" spans="1:12" ht="14.25" customHeight="1" x14ac:dyDescent="0.3">
      <c r="A538" s="40"/>
      <c r="B538" s="29"/>
      <c r="C538" s="29"/>
      <c r="D538" s="29"/>
      <c r="E538" s="29"/>
      <c r="F538" s="29"/>
      <c r="G538" s="29"/>
      <c r="H538" s="29"/>
      <c r="I538" s="29"/>
      <c r="J538" s="29"/>
      <c r="K538" s="29"/>
      <c r="L538" s="29"/>
    </row>
    <row r="539" spans="1:12" ht="14.25" customHeight="1" x14ac:dyDescent="0.3">
      <c r="A539" s="40"/>
      <c r="B539" s="29"/>
      <c r="C539" s="29"/>
      <c r="D539" s="29"/>
      <c r="E539" s="29"/>
      <c r="F539" s="29"/>
      <c r="G539" s="29"/>
      <c r="H539" s="29"/>
      <c r="I539" s="29"/>
      <c r="J539" s="29"/>
      <c r="K539" s="29"/>
      <c r="L539" s="29"/>
    </row>
    <row r="540" spans="1:12" ht="14.25" customHeight="1" x14ac:dyDescent="0.3">
      <c r="A540" s="40"/>
      <c r="B540" s="29"/>
      <c r="C540" s="29"/>
      <c r="D540" s="29"/>
      <c r="E540" s="29"/>
      <c r="F540" s="29"/>
      <c r="G540" s="29"/>
      <c r="H540" s="29"/>
      <c r="I540" s="29"/>
      <c r="J540" s="29"/>
      <c r="K540" s="29"/>
      <c r="L540" s="29"/>
    </row>
    <row r="541" spans="1:12" ht="14.25" customHeight="1" x14ac:dyDescent="0.3">
      <c r="A541" s="40"/>
      <c r="B541" s="29"/>
      <c r="C541" s="29"/>
      <c r="D541" s="29"/>
      <c r="E541" s="29"/>
      <c r="F541" s="29"/>
      <c r="G541" s="29"/>
      <c r="H541" s="29"/>
      <c r="I541" s="29"/>
      <c r="J541" s="29"/>
      <c r="K541" s="29"/>
      <c r="L541" s="29"/>
    </row>
    <row r="542" spans="1:12" ht="14.25" customHeight="1" x14ac:dyDescent="0.3">
      <c r="A542" s="40"/>
      <c r="B542" s="29"/>
      <c r="C542" s="29"/>
      <c r="D542" s="29"/>
      <c r="E542" s="29"/>
      <c r="F542" s="29"/>
      <c r="G542" s="29"/>
      <c r="H542" s="29"/>
      <c r="I542" s="29"/>
      <c r="J542" s="29"/>
      <c r="K542" s="29"/>
      <c r="L542" s="29"/>
    </row>
    <row r="543" spans="1:12" ht="14.25" customHeight="1" x14ac:dyDescent="0.3">
      <c r="A543" s="40"/>
      <c r="B543" s="29"/>
      <c r="C543" s="29"/>
      <c r="D543" s="29"/>
      <c r="E543" s="29"/>
      <c r="F543" s="29"/>
      <c r="G543" s="29"/>
      <c r="H543" s="29"/>
      <c r="I543" s="29"/>
      <c r="J543" s="29"/>
      <c r="K543" s="29"/>
      <c r="L543" s="29"/>
    </row>
    <row r="544" spans="1:12" ht="14.25" customHeight="1" x14ac:dyDescent="0.3">
      <c r="A544" s="40"/>
      <c r="B544" s="29"/>
      <c r="C544" s="29"/>
      <c r="D544" s="29"/>
      <c r="E544" s="29"/>
      <c r="F544" s="29"/>
      <c r="G544" s="29"/>
      <c r="H544" s="29"/>
      <c r="I544" s="29"/>
      <c r="J544" s="29"/>
      <c r="K544" s="29"/>
      <c r="L544" s="29"/>
    </row>
    <row r="545" spans="1:12" ht="14.25" customHeight="1" x14ac:dyDescent="0.3">
      <c r="A545" s="40"/>
      <c r="B545" s="29"/>
      <c r="C545" s="29"/>
      <c r="D545" s="29"/>
      <c r="E545" s="29"/>
      <c r="F545" s="29"/>
      <c r="G545" s="29"/>
      <c r="H545" s="29"/>
      <c r="I545" s="29"/>
      <c r="J545" s="29"/>
      <c r="K545" s="29"/>
      <c r="L545" s="29"/>
    </row>
    <row r="546" spans="1:12" ht="14.25" customHeight="1" x14ac:dyDescent="0.3">
      <c r="A546" s="40"/>
      <c r="B546" s="29"/>
      <c r="C546" s="29"/>
      <c r="D546" s="29"/>
      <c r="E546" s="29"/>
      <c r="F546" s="29"/>
      <c r="G546" s="29"/>
      <c r="H546" s="29"/>
      <c r="I546" s="29"/>
      <c r="J546" s="29"/>
      <c r="K546" s="29"/>
      <c r="L546" s="29"/>
    </row>
    <row r="547" spans="1:12" ht="14.25" customHeight="1" x14ac:dyDescent="0.3">
      <c r="A547" s="40"/>
      <c r="B547" s="29"/>
      <c r="C547" s="29"/>
      <c r="D547" s="29"/>
      <c r="E547" s="29"/>
      <c r="F547" s="29"/>
      <c r="G547" s="29"/>
      <c r="H547" s="29"/>
      <c r="I547" s="29"/>
      <c r="J547" s="29"/>
      <c r="K547" s="29"/>
      <c r="L547" s="29"/>
    </row>
    <row r="548" spans="1:12" ht="14.25" customHeight="1" x14ac:dyDescent="0.3">
      <c r="A548" s="40"/>
      <c r="B548" s="29"/>
      <c r="C548" s="29"/>
      <c r="D548" s="29"/>
      <c r="E548" s="29"/>
      <c r="F548" s="29"/>
      <c r="G548" s="29"/>
      <c r="H548" s="29"/>
      <c r="I548" s="29"/>
      <c r="J548" s="29"/>
      <c r="K548" s="29"/>
      <c r="L548" s="29"/>
    </row>
    <row r="549" spans="1:12" ht="14.25" customHeight="1" x14ac:dyDescent="0.3">
      <c r="A549" s="40"/>
      <c r="B549" s="29"/>
      <c r="C549" s="29"/>
      <c r="D549" s="29"/>
      <c r="E549" s="29"/>
      <c r="F549" s="29"/>
      <c r="G549" s="29"/>
      <c r="H549" s="29"/>
      <c r="I549" s="29"/>
      <c r="J549" s="29"/>
      <c r="K549" s="29"/>
      <c r="L549" s="29"/>
    </row>
    <row r="550" spans="1:12" ht="14.25" customHeight="1" x14ac:dyDescent="0.3">
      <c r="A550" s="40"/>
      <c r="B550" s="29"/>
      <c r="C550" s="29"/>
      <c r="D550" s="29"/>
      <c r="E550" s="29"/>
      <c r="F550" s="29"/>
      <c r="G550" s="29"/>
      <c r="H550" s="29"/>
      <c r="I550" s="29"/>
      <c r="J550" s="29"/>
      <c r="K550" s="29"/>
      <c r="L550" s="29"/>
    </row>
    <row r="551" spans="1:12" ht="14.25" customHeight="1" x14ac:dyDescent="0.3">
      <c r="A551" s="40"/>
      <c r="B551" s="29"/>
      <c r="C551" s="29"/>
      <c r="D551" s="29"/>
      <c r="E551" s="29"/>
      <c r="F551" s="29"/>
      <c r="G551" s="29"/>
      <c r="H551" s="29"/>
      <c r="I551" s="29"/>
      <c r="J551" s="29"/>
      <c r="K551" s="29"/>
      <c r="L551" s="29"/>
    </row>
    <row r="552" spans="1:12" ht="14.25" customHeight="1" x14ac:dyDescent="0.3">
      <c r="A552" s="40"/>
      <c r="B552" s="29"/>
      <c r="C552" s="29"/>
      <c r="D552" s="29"/>
      <c r="E552" s="29"/>
      <c r="F552" s="29"/>
      <c r="G552" s="29"/>
      <c r="H552" s="29"/>
      <c r="I552" s="29"/>
      <c r="J552" s="29"/>
      <c r="K552" s="29"/>
      <c r="L552" s="29"/>
    </row>
    <row r="553" spans="1:12" ht="14.25" customHeight="1" x14ac:dyDescent="0.3">
      <c r="A553" s="40"/>
      <c r="B553" s="29"/>
      <c r="C553" s="29"/>
      <c r="D553" s="29"/>
      <c r="E553" s="29"/>
      <c r="F553" s="29"/>
      <c r="G553" s="29"/>
      <c r="H553" s="29"/>
      <c r="I553" s="29"/>
      <c r="J553" s="29"/>
      <c r="K553" s="29"/>
      <c r="L553" s="29"/>
    </row>
    <row r="554" spans="1:12" ht="14.25" customHeight="1" x14ac:dyDescent="0.3">
      <c r="A554" s="40"/>
      <c r="B554" s="29"/>
      <c r="C554" s="29"/>
      <c r="D554" s="29"/>
      <c r="E554" s="29"/>
      <c r="F554" s="29"/>
      <c r="G554" s="29"/>
      <c r="H554" s="29"/>
      <c r="I554" s="29"/>
      <c r="J554" s="29"/>
      <c r="K554" s="29"/>
      <c r="L554" s="29"/>
    </row>
    <row r="555" spans="1:12" ht="14.25" customHeight="1" x14ac:dyDescent="0.3">
      <c r="A555" s="40"/>
      <c r="B555" s="29"/>
      <c r="C555" s="29"/>
      <c r="D555" s="29"/>
      <c r="E555" s="29"/>
      <c r="F555" s="29"/>
      <c r="G555" s="29"/>
      <c r="H555" s="29"/>
      <c r="I555" s="29"/>
      <c r="J555" s="29"/>
      <c r="K555" s="29"/>
      <c r="L555" s="29"/>
    </row>
    <row r="556" spans="1:12" ht="14.25" customHeight="1" x14ac:dyDescent="0.3">
      <c r="A556" s="40"/>
      <c r="B556" s="29"/>
      <c r="C556" s="29"/>
      <c r="D556" s="29"/>
      <c r="E556" s="29"/>
      <c r="F556" s="29"/>
      <c r="G556" s="29"/>
      <c r="H556" s="29"/>
      <c r="I556" s="29"/>
      <c r="J556" s="29"/>
      <c r="K556" s="29"/>
      <c r="L556" s="29"/>
    </row>
    <row r="557" spans="1:12" ht="14.25" customHeight="1" x14ac:dyDescent="0.3">
      <c r="A557" s="40"/>
      <c r="B557" s="29"/>
      <c r="C557" s="29"/>
      <c r="D557" s="29"/>
      <c r="E557" s="29"/>
      <c r="F557" s="29"/>
      <c r="G557" s="29"/>
      <c r="H557" s="29"/>
      <c r="I557" s="29"/>
      <c r="J557" s="29"/>
      <c r="K557" s="29"/>
      <c r="L557" s="29"/>
    </row>
    <row r="558" spans="1:12" ht="14.25" customHeight="1" x14ac:dyDescent="0.3">
      <c r="A558" s="40"/>
      <c r="B558" s="29"/>
      <c r="C558" s="29"/>
      <c r="D558" s="29"/>
      <c r="E558" s="29"/>
      <c r="F558" s="29"/>
      <c r="G558" s="29"/>
      <c r="H558" s="29"/>
      <c r="I558" s="29"/>
      <c r="J558" s="29"/>
      <c r="K558" s="29"/>
      <c r="L558" s="29"/>
    </row>
    <row r="559" spans="1:12" ht="14.25" customHeight="1" x14ac:dyDescent="0.3">
      <c r="A559" s="40"/>
      <c r="B559" s="29"/>
      <c r="C559" s="29"/>
      <c r="D559" s="29"/>
      <c r="E559" s="29"/>
      <c r="F559" s="29"/>
      <c r="G559" s="29"/>
      <c r="H559" s="29"/>
      <c r="I559" s="29"/>
      <c r="J559" s="29"/>
      <c r="K559" s="29"/>
      <c r="L559" s="29"/>
    </row>
    <row r="560" spans="1:12" ht="14.25" customHeight="1" x14ac:dyDescent="0.3">
      <c r="A560" s="40"/>
      <c r="B560" s="29"/>
      <c r="C560" s="29"/>
      <c r="D560" s="29"/>
      <c r="E560" s="29"/>
      <c r="F560" s="29"/>
      <c r="G560" s="29"/>
      <c r="H560" s="29"/>
      <c r="I560" s="29"/>
      <c r="J560" s="29"/>
      <c r="K560" s="29"/>
      <c r="L560" s="29"/>
    </row>
    <row r="561" spans="1:12" ht="14.25" customHeight="1" x14ac:dyDescent="0.3">
      <c r="A561" s="40"/>
      <c r="B561" s="29"/>
      <c r="C561" s="29"/>
      <c r="D561" s="29"/>
      <c r="E561" s="29"/>
      <c r="F561" s="29"/>
      <c r="G561" s="29"/>
      <c r="H561" s="29"/>
      <c r="I561" s="29"/>
      <c r="J561" s="29"/>
      <c r="K561" s="29"/>
      <c r="L561" s="29"/>
    </row>
    <row r="562" spans="1:12" ht="14.25" customHeight="1" x14ac:dyDescent="0.3">
      <c r="A562" s="40"/>
      <c r="B562" s="29"/>
      <c r="C562" s="29"/>
      <c r="D562" s="29"/>
      <c r="E562" s="29"/>
      <c r="F562" s="29"/>
      <c r="G562" s="29"/>
      <c r="H562" s="29"/>
      <c r="I562" s="29"/>
      <c r="J562" s="29"/>
      <c r="K562" s="29"/>
      <c r="L562" s="29"/>
    </row>
    <row r="563" spans="1:12" ht="14.25" customHeight="1" x14ac:dyDescent="0.3">
      <c r="A563" s="40"/>
      <c r="B563" s="29"/>
      <c r="C563" s="29"/>
      <c r="D563" s="29"/>
      <c r="E563" s="29"/>
      <c r="F563" s="29"/>
      <c r="G563" s="29"/>
      <c r="H563" s="29"/>
      <c r="I563" s="29"/>
      <c r="J563" s="29"/>
      <c r="K563" s="29"/>
      <c r="L563" s="29"/>
    </row>
    <row r="564" spans="1:12" ht="14.25" customHeight="1" x14ac:dyDescent="0.3">
      <c r="A564" s="40"/>
      <c r="B564" s="29"/>
      <c r="C564" s="29"/>
      <c r="D564" s="29"/>
      <c r="E564" s="29"/>
      <c r="F564" s="29"/>
      <c r="G564" s="29"/>
      <c r="H564" s="29"/>
      <c r="I564" s="29"/>
      <c r="J564" s="29"/>
      <c r="K564" s="29"/>
      <c r="L564" s="29"/>
    </row>
    <row r="565" spans="1:12" ht="14.25" customHeight="1" x14ac:dyDescent="0.3">
      <c r="A565" s="40"/>
      <c r="B565" s="29"/>
      <c r="C565" s="29"/>
      <c r="D565" s="29"/>
      <c r="E565" s="29"/>
      <c r="F565" s="29"/>
      <c r="G565" s="29"/>
      <c r="H565" s="29"/>
      <c r="I565" s="29"/>
      <c r="J565" s="29"/>
      <c r="K565" s="29"/>
      <c r="L565" s="29"/>
    </row>
    <row r="566" spans="1:12" ht="14.25" customHeight="1" x14ac:dyDescent="0.3">
      <c r="A566" s="40"/>
      <c r="B566" s="29"/>
      <c r="C566" s="29"/>
      <c r="D566" s="29"/>
      <c r="E566" s="29"/>
      <c r="F566" s="29"/>
      <c r="G566" s="29"/>
      <c r="H566" s="29"/>
      <c r="I566" s="29"/>
      <c r="J566" s="29"/>
      <c r="K566" s="29"/>
      <c r="L566" s="29"/>
    </row>
    <row r="567" spans="1:12" ht="14.25" customHeight="1" x14ac:dyDescent="0.3">
      <c r="A567" s="40"/>
      <c r="B567" s="29"/>
      <c r="C567" s="29"/>
      <c r="D567" s="29"/>
      <c r="E567" s="29"/>
      <c r="F567" s="29"/>
      <c r="G567" s="29"/>
      <c r="H567" s="29"/>
      <c r="I567" s="29"/>
      <c r="J567" s="29"/>
      <c r="K567" s="29"/>
      <c r="L567" s="29"/>
    </row>
    <row r="568" spans="1:12" ht="14.25" customHeight="1" x14ac:dyDescent="0.3">
      <c r="A568" s="40"/>
      <c r="B568" s="29"/>
      <c r="C568" s="29"/>
      <c r="D568" s="29"/>
      <c r="E568" s="29"/>
      <c r="F568" s="29"/>
      <c r="G568" s="29"/>
      <c r="H568" s="29"/>
      <c r="I568" s="29"/>
      <c r="J568" s="29"/>
      <c r="K568" s="29"/>
      <c r="L568" s="29"/>
    </row>
    <row r="569" spans="1:12" ht="14.25" customHeight="1" x14ac:dyDescent="0.3">
      <c r="A569" s="40"/>
      <c r="B569" s="29"/>
      <c r="C569" s="29"/>
      <c r="D569" s="29"/>
      <c r="E569" s="29"/>
      <c r="F569" s="29"/>
      <c r="G569" s="29"/>
      <c r="H569" s="29"/>
      <c r="I569" s="29"/>
      <c r="J569" s="29"/>
      <c r="K569" s="29"/>
      <c r="L569" s="29"/>
    </row>
    <row r="570" spans="1:12" ht="14.25" customHeight="1" x14ac:dyDescent="0.3">
      <c r="A570" s="40"/>
      <c r="B570" s="29"/>
      <c r="C570" s="29"/>
      <c r="D570" s="29"/>
      <c r="E570" s="29"/>
      <c r="F570" s="29"/>
      <c r="G570" s="29"/>
      <c r="H570" s="29"/>
      <c r="I570" s="29"/>
      <c r="J570" s="29"/>
      <c r="K570" s="29"/>
      <c r="L570" s="29"/>
    </row>
    <row r="571" spans="1:12" ht="14.25" customHeight="1" x14ac:dyDescent="0.3">
      <c r="A571" s="40"/>
      <c r="B571" s="29"/>
      <c r="C571" s="29"/>
      <c r="D571" s="29"/>
      <c r="E571" s="29"/>
      <c r="F571" s="29"/>
      <c r="G571" s="29"/>
      <c r="H571" s="29"/>
      <c r="I571" s="29"/>
      <c r="J571" s="29"/>
      <c r="K571" s="29"/>
      <c r="L571" s="29"/>
    </row>
    <row r="572" spans="1:12" ht="14.25" customHeight="1" x14ac:dyDescent="0.3">
      <c r="A572" s="40"/>
      <c r="B572" s="29"/>
      <c r="C572" s="29"/>
      <c r="D572" s="29"/>
      <c r="E572" s="29"/>
      <c r="F572" s="29"/>
      <c r="G572" s="29"/>
      <c r="H572" s="29"/>
      <c r="I572" s="29"/>
      <c r="J572" s="29"/>
      <c r="K572" s="29"/>
      <c r="L572" s="29"/>
    </row>
    <row r="573" spans="1:12" ht="14.25" customHeight="1" x14ac:dyDescent="0.3">
      <c r="A573" s="40"/>
      <c r="B573" s="29"/>
      <c r="C573" s="29"/>
      <c r="D573" s="29"/>
      <c r="E573" s="29"/>
      <c r="F573" s="29"/>
      <c r="G573" s="29"/>
      <c r="H573" s="29"/>
      <c r="I573" s="29"/>
      <c r="J573" s="29"/>
      <c r="K573" s="29"/>
      <c r="L573" s="29"/>
    </row>
    <row r="574" spans="1:12" ht="14.25" customHeight="1" x14ac:dyDescent="0.3">
      <c r="A574" s="40"/>
      <c r="B574" s="29"/>
      <c r="C574" s="29"/>
      <c r="D574" s="29"/>
      <c r="E574" s="29"/>
      <c r="F574" s="29"/>
      <c r="G574" s="29"/>
      <c r="H574" s="29"/>
      <c r="I574" s="29"/>
      <c r="J574" s="29"/>
      <c r="K574" s="29"/>
      <c r="L574" s="29"/>
    </row>
    <row r="575" spans="1:12" ht="14.25" customHeight="1" x14ac:dyDescent="0.3">
      <c r="A575" s="40"/>
      <c r="B575" s="29"/>
      <c r="C575" s="29"/>
      <c r="D575" s="29"/>
      <c r="E575" s="29"/>
      <c r="F575" s="29"/>
      <c r="G575" s="29"/>
      <c r="H575" s="29"/>
      <c r="I575" s="29"/>
      <c r="J575" s="29"/>
      <c r="K575" s="29"/>
      <c r="L575" s="29"/>
    </row>
    <row r="576" spans="1:12" ht="14.25" customHeight="1" x14ac:dyDescent="0.3">
      <c r="A576" s="40"/>
      <c r="B576" s="29"/>
      <c r="C576" s="29"/>
      <c r="D576" s="29"/>
      <c r="E576" s="29"/>
      <c r="F576" s="29"/>
      <c r="G576" s="29"/>
      <c r="H576" s="29"/>
      <c r="I576" s="29"/>
      <c r="J576" s="29"/>
      <c r="K576" s="29"/>
      <c r="L576" s="29"/>
    </row>
    <row r="577" spans="1:12" ht="14.25" customHeight="1" x14ac:dyDescent="0.3">
      <c r="A577" s="40"/>
      <c r="B577" s="29"/>
      <c r="C577" s="29"/>
      <c r="D577" s="29"/>
      <c r="E577" s="29"/>
      <c r="F577" s="29"/>
      <c r="G577" s="29"/>
      <c r="H577" s="29"/>
      <c r="I577" s="29"/>
      <c r="J577" s="29"/>
      <c r="K577" s="29"/>
      <c r="L577" s="29"/>
    </row>
    <row r="578" spans="1:12" ht="14.25" customHeight="1" x14ac:dyDescent="0.3">
      <c r="A578" s="40"/>
      <c r="B578" s="29"/>
      <c r="C578" s="29"/>
      <c r="D578" s="29"/>
      <c r="E578" s="29"/>
      <c r="F578" s="29"/>
      <c r="G578" s="29"/>
      <c r="H578" s="29"/>
      <c r="I578" s="29"/>
      <c r="J578" s="29"/>
      <c r="K578" s="29"/>
      <c r="L578" s="29"/>
    </row>
    <row r="579" spans="1:12" ht="14.25" customHeight="1" x14ac:dyDescent="0.3">
      <c r="A579" s="40"/>
      <c r="B579" s="29"/>
      <c r="C579" s="29"/>
      <c r="D579" s="29"/>
      <c r="E579" s="29"/>
      <c r="F579" s="29"/>
      <c r="G579" s="29"/>
      <c r="H579" s="29"/>
      <c r="I579" s="29"/>
      <c r="J579" s="29"/>
      <c r="K579" s="29"/>
      <c r="L579" s="29"/>
    </row>
    <row r="580" spans="1:12" ht="14.25" customHeight="1" x14ac:dyDescent="0.3">
      <c r="A580" s="40"/>
      <c r="B580" s="29"/>
      <c r="C580" s="29"/>
      <c r="D580" s="29"/>
      <c r="E580" s="29"/>
      <c r="F580" s="29"/>
      <c r="G580" s="29"/>
      <c r="H580" s="29"/>
      <c r="I580" s="29"/>
      <c r="J580" s="29"/>
      <c r="K580" s="29"/>
      <c r="L580" s="29"/>
    </row>
    <row r="581" spans="1:12" ht="14.25" customHeight="1" x14ac:dyDescent="0.3">
      <c r="A581" s="40"/>
      <c r="B581" s="29"/>
      <c r="C581" s="29"/>
      <c r="D581" s="29"/>
      <c r="E581" s="29"/>
      <c r="F581" s="29"/>
      <c r="G581" s="29"/>
      <c r="H581" s="29"/>
      <c r="I581" s="29"/>
      <c r="J581" s="29"/>
      <c r="K581" s="29"/>
      <c r="L581" s="29"/>
    </row>
    <row r="582" spans="1:12" ht="14.25" customHeight="1" x14ac:dyDescent="0.3">
      <c r="A582" s="40"/>
      <c r="B582" s="29"/>
      <c r="C582" s="29"/>
      <c r="D582" s="29"/>
      <c r="E582" s="29"/>
      <c r="F582" s="29"/>
      <c r="G582" s="29"/>
      <c r="H582" s="29"/>
      <c r="I582" s="29"/>
      <c r="J582" s="29"/>
      <c r="K582" s="29"/>
      <c r="L582" s="29"/>
    </row>
    <row r="583" spans="1:12" ht="14.25" customHeight="1" x14ac:dyDescent="0.3">
      <c r="A583" s="40"/>
      <c r="B583" s="29"/>
      <c r="C583" s="29"/>
      <c r="D583" s="29"/>
      <c r="E583" s="29"/>
      <c r="F583" s="29"/>
      <c r="G583" s="29"/>
      <c r="H583" s="29"/>
      <c r="I583" s="29"/>
      <c r="J583" s="29"/>
      <c r="K583" s="29"/>
      <c r="L583" s="29"/>
    </row>
    <row r="584" spans="1:12" ht="14.25" customHeight="1" x14ac:dyDescent="0.3">
      <c r="A584" s="40"/>
      <c r="B584" s="29"/>
      <c r="C584" s="29"/>
      <c r="D584" s="29"/>
      <c r="E584" s="29"/>
      <c r="F584" s="29"/>
      <c r="G584" s="29"/>
      <c r="H584" s="29"/>
      <c r="I584" s="29"/>
      <c r="J584" s="29"/>
      <c r="K584" s="29"/>
      <c r="L584" s="29"/>
    </row>
    <row r="585" spans="1:12" ht="14.25" customHeight="1" x14ac:dyDescent="0.3">
      <c r="A585" s="40"/>
      <c r="B585" s="29"/>
      <c r="C585" s="29"/>
      <c r="D585" s="29"/>
      <c r="E585" s="29"/>
      <c r="F585" s="29"/>
      <c r="G585" s="29"/>
      <c r="H585" s="29"/>
      <c r="I585" s="29"/>
      <c r="J585" s="29"/>
      <c r="K585" s="29"/>
      <c r="L585" s="29"/>
    </row>
    <row r="586" spans="1:12" ht="14.25" customHeight="1" x14ac:dyDescent="0.3">
      <c r="A586" s="40"/>
      <c r="B586" s="29"/>
      <c r="C586" s="29"/>
      <c r="D586" s="29"/>
      <c r="E586" s="29"/>
      <c r="F586" s="29"/>
      <c r="G586" s="29"/>
      <c r="H586" s="29"/>
      <c r="I586" s="29"/>
      <c r="J586" s="29"/>
      <c r="K586" s="29"/>
      <c r="L586" s="29"/>
    </row>
    <row r="587" spans="1:12" ht="14.25" customHeight="1" x14ac:dyDescent="0.3">
      <c r="A587" s="40"/>
      <c r="B587" s="29"/>
      <c r="C587" s="29"/>
      <c r="D587" s="29"/>
      <c r="E587" s="29"/>
      <c r="F587" s="29"/>
      <c r="G587" s="29"/>
      <c r="H587" s="29"/>
      <c r="I587" s="29"/>
      <c r="J587" s="29"/>
      <c r="K587" s="29"/>
      <c r="L587" s="29"/>
    </row>
    <row r="588" spans="1:12" ht="14.25" customHeight="1" x14ac:dyDescent="0.3">
      <c r="A588" s="40"/>
      <c r="B588" s="29"/>
      <c r="C588" s="29"/>
      <c r="D588" s="29"/>
      <c r="E588" s="29"/>
      <c r="F588" s="29"/>
      <c r="G588" s="29"/>
      <c r="H588" s="29"/>
      <c r="I588" s="29"/>
      <c r="J588" s="29"/>
      <c r="K588" s="29"/>
      <c r="L588" s="29"/>
    </row>
    <row r="589" spans="1:12" ht="14.25" customHeight="1" x14ac:dyDescent="0.3">
      <c r="A589" s="40"/>
      <c r="B589" s="29"/>
      <c r="C589" s="29"/>
      <c r="D589" s="29"/>
      <c r="E589" s="29"/>
      <c r="F589" s="29"/>
      <c r="G589" s="29"/>
      <c r="H589" s="29"/>
      <c r="I589" s="29"/>
      <c r="J589" s="29"/>
      <c r="K589" s="29"/>
      <c r="L589" s="29"/>
    </row>
    <row r="590" spans="1:12" ht="14.25" customHeight="1" x14ac:dyDescent="0.3">
      <c r="A590" s="40"/>
      <c r="B590" s="29"/>
      <c r="C590" s="29"/>
      <c r="D590" s="29"/>
      <c r="E590" s="29"/>
      <c r="F590" s="29"/>
      <c r="G590" s="29"/>
      <c r="H590" s="29"/>
      <c r="I590" s="29"/>
      <c r="J590" s="29"/>
      <c r="K590" s="29"/>
      <c r="L590" s="29"/>
    </row>
    <row r="591" spans="1:12" ht="14.25" customHeight="1" x14ac:dyDescent="0.3">
      <c r="A591" s="40"/>
      <c r="B591" s="29"/>
      <c r="C591" s="29"/>
      <c r="D591" s="29"/>
      <c r="E591" s="29"/>
      <c r="F591" s="29"/>
      <c r="G591" s="29"/>
      <c r="H591" s="29"/>
      <c r="I591" s="29"/>
      <c r="J591" s="29"/>
      <c r="K591" s="29"/>
      <c r="L591" s="29"/>
    </row>
    <row r="592" spans="1:12" ht="14.25" customHeight="1" x14ac:dyDescent="0.3">
      <c r="A592" s="40"/>
      <c r="B592" s="29"/>
      <c r="C592" s="29"/>
      <c r="D592" s="29"/>
      <c r="E592" s="29"/>
      <c r="F592" s="29"/>
      <c r="G592" s="29"/>
      <c r="H592" s="29"/>
      <c r="I592" s="29"/>
      <c r="J592" s="29"/>
      <c r="K592" s="29"/>
      <c r="L592" s="29"/>
    </row>
    <row r="593" spans="1:12" ht="14.25" customHeight="1" x14ac:dyDescent="0.3">
      <c r="A593" s="40"/>
      <c r="B593" s="29"/>
      <c r="C593" s="29"/>
      <c r="D593" s="29"/>
      <c r="E593" s="29"/>
      <c r="F593" s="29"/>
      <c r="G593" s="29"/>
      <c r="H593" s="29"/>
      <c r="I593" s="29"/>
      <c r="J593" s="29"/>
      <c r="K593" s="29"/>
      <c r="L593" s="29"/>
    </row>
    <row r="594" spans="1:12" ht="14.25" customHeight="1" x14ac:dyDescent="0.3">
      <c r="A594" s="40"/>
      <c r="B594" s="29"/>
      <c r="C594" s="29"/>
      <c r="D594" s="29"/>
      <c r="E594" s="29"/>
      <c r="F594" s="29"/>
      <c r="G594" s="29"/>
      <c r="H594" s="29"/>
      <c r="I594" s="29"/>
      <c r="J594" s="29"/>
      <c r="K594" s="29"/>
      <c r="L594" s="29"/>
    </row>
    <row r="595" spans="1:12" ht="14.25" customHeight="1" x14ac:dyDescent="0.3">
      <c r="A595" s="40"/>
      <c r="B595" s="29"/>
      <c r="C595" s="29"/>
      <c r="D595" s="29"/>
      <c r="E595" s="29"/>
      <c r="F595" s="29"/>
      <c r="G595" s="29"/>
      <c r="H595" s="29"/>
      <c r="I595" s="29"/>
      <c r="J595" s="29"/>
      <c r="K595" s="29"/>
      <c r="L595" s="29"/>
    </row>
    <row r="596" spans="1:12" ht="14.25" customHeight="1" x14ac:dyDescent="0.3">
      <c r="A596" s="40"/>
      <c r="B596" s="29"/>
      <c r="C596" s="29"/>
      <c r="D596" s="29"/>
      <c r="E596" s="29"/>
      <c r="F596" s="29"/>
      <c r="G596" s="29"/>
      <c r="H596" s="29"/>
      <c r="I596" s="29"/>
      <c r="J596" s="29"/>
      <c r="K596" s="29"/>
      <c r="L596" s="29"/>
    </row>
    <row r="597" spans="1:12" ht="14.25" customHeight="1" x14ac:dyDescent="0.3">
      <c r="A597" s="40"/>
      <c r="B597" s="29"/>
      <c r="C597" s="29"/>
      <c r="D597" s="29"/>
      <c r="E597" s="29"/>
      <c r="F597" s="29"/>
      <c r="G597" s="29"/>
      <c r="H597" s="29"/>
      <c r="I597" s="29"/>
      <c r="J597" s="29"/>
      <c r="K597" s="29"/>
      <c r="L597" s="29"/>
    </row>
    <row r="598" spans="1:12" ht="14.25" customHeight="1" x14ac:dyDescent="0.3">
      <c r="A598" s="40"/>
      <c r="B598" s="29"/>
      <c r="C598" s="29"/>
      <c r="D598" s="29"/>
      <c r="E598" s="29"/>
      <c r="F598" s="29"/>
      <c r="G598" s="29"/>
      <c r="H598" s="29"/>
      <c r="I598" s="29"/>
      <c r="J598" s="29"/>
      <c r="K598" s="29"/>
      <c r="L598" s="29"/>
    </row>
    <row r="599" spans="1:12" ht="14.25" customHeight="1" x14ac:dyDescent="0.3">
      <c r="A599" s="40"/>
      <c r="B599" s="29"/>
      <c r="C599" s="29"/>
      <c r="D599" s="29"/>
      <c r="E599" s="29"/>
      <c r="F599" s="29"/>
      <c r="G599" s="29"/>
      <c r="H599" s="29"/>
      <c r="I599" s="29"/>
      <c r="J599" s="29"/>
      <c r="K599" s="29"/>
      <c r="L599" s="29"/>
    </row>
    <row r="600" spans="1:12" ht="14.25" customHeight="1" x14ac:dyDescent="0.3">
      <c r="A600" s="40"/>
      <c r="B600" s="29"/>
      <c r="C600" s="29"/>
      <c r="D600" s="29"/>
      <c r="E600" s="29"/>
      <c r="F600" s="29"/>
      <c r="G600" s="29"/>
      <c r="H600" s="29"/>
      <c r="I600" s="29"/>
      <c r="J600" s="29"/>
      <c r="K600" s="29"/>
      <c r="L600" s="29"/>
    </row>
    <row r="601" spans="1:12" ht="14.25" customHeight="1" x14ac:dyDescent="0.3">
      <c r="A601" s="40"/>
      <c r="B601" s="29"/>
      <c r="C601" s="29"/>
      <c r="D601" s="29"/>
      <c r="E601" s="29"/>
      <c r="F601" s="29"/>
      <c r="G601" s="29"/>
      <c r="H601" s="29"/>
      <c r="I601" s="29"/>
      <c r="J601" s="29"/>
      <c r="K601" s="29"/>
      <c r="L601" s="29"/>
    </row>
    <row r="602" spans="1:12" ht="14.25" customHeight="1" x14ac:dyDescent="0.3">
      <c r="A602" s="40"/>
      <c r="B602" s="29"/>
      <c r="C602" s="29"/>
      <c r="D602" s="29"/>
      <c r="E602" s="29"/>
      <c r="F602" s="29"/>
      <c r="G602" s="29"/>
      <c r="H602" s="29"/>
      <c r="I602" s="29"/>
      <c r="J602" s="29"/>
      <c r="K602" s="29"/>
      <c r="L602" s="29"/>
    </row>
    <row r="603" spans="1:12" ht="14.25" customHeight="1" x14ac:dyDescent="0.3">
      <c r="A603" s="40"/>
      <c r="B603" s="29"/>
      <c r="C603" s="29"/>
      <c r="D603" s="29"/>
      <c r="E603" s="29"/>
      <c r="F603" s="29"/>
      <c r="G603" s="29"/>
      <c r="H603" s="29"/>
      <c r="I603" s="29"/>
      <c r="J603" s="29"/>
      <c r="K603" s="29"/>
      <c r="L603" s="29"/>
    </row>
    <row r="604" spans="1:12" ht="14.25" customHeight="1" x14ac:dyDescent="0.3">
      <c r="A604" s="40"/>
      <c r="B604" s="29"/>
      <c r="C604" s="29"/>
      <c r="D604" s="29"/>
      <c r="E604" s="29"/>
      <c r="F604" s="29"/>
      <c r="G604" s="29"/>
      <c r="H604" s="29"/>
      <c r="I604" s="29"/>
      <c r="J604" s="29"/>
      <c r="K604" s="29"/>
      <c r="L604" s="29"/>
    </row>
    <row r="605" spans="1:12" ht="14.25" customHeight="1" x14ac:dyDescent="0.3">
      <c r="A605" s="40"/>
      <c r="B605" s="29"/>
      <c r="C605" s="29"/>
      <c r="D605" s="29"/>
      <c r="E605" s="29"/>
      <c r="F605" s="29"/>
      <c r="G605" s="29"/>
      <c r="H605" s="29"/>
      <c r="I605" s="29"/>
      <c r="J605" s="29"/>
      <c r="K605" s="29"/>
      <c r="L605" s="29"/>
    </row>
    <row r="606" spans="1:12" ht="14.25" customHeight="1" x14ac:dyDescent="0.3">
      <c r="A606" s="40"/>
      <c r="B606" s="29"/>
      <c r="C606" s="29"/>
      <c r="D606" s="29"/>
      <c r="E606" s="29"/>
      <c r="F606" s="29"/>
      <c r="G606" s="29"/>
      <c r="H606" s="29"/>
      <c r="I606" s="29"/>
      <c r="J606" s="29"/>
      <c r="K606" s="29"/>
      <c r="L606" s="29"/>
    </row>
    <row r="607" spans="1:12" ht="14.25" customHeight="1" x14ac:dyDescent="0.3">
      <c r="A607" s="40"/>
      <c r="B607" s="29"/>
      <c r="C607" s="29"/>
      <c r="D607" s="29"/>
      <c r="E607" s="29"/>
      <c r="F607" s="29"/>
      <c r="G607" s="29"/>
      <c r="H607" s="29"/>
      <c r="I607" s="29"/>
      <c r="J607" s="29"/>
      <c r="K607" s="29"/>
      <c r="L607" s="29"/>
    </row>
    <row r="608" spans="1:12" ht="14.25" customHeight="1" x14ac:dyDescent="0.3">
      <c r="A608" s="40"/>
      <c r="B608" s="29"/>
      <c r="C608" s="29"/>
      <c r="D608" s="29"/>
      <c r="E608" s="29"/>
      <c r="F608" s="29"/>
      <c r="G608" s="29"/>
      <c r="H608" s="29"/>
      <c r="I608" s="29"/>
      <c r="J608" s="29"/>
      <c r="K608" s="29"/>
      <c r="L608" s="29"/>
    </row>
    <row r="609" spans="1:12" ht="14.25" customHeight="1" x14ac:dyDescent="0.3">
      <c r="A609" s="40"/>
      <c r="B609" s="29"/>
      <c r="C609" s="29"/>
      <c r="D609" s="29"/>
      <c r="E609" s="29"/>
      <c r="F609" s="29"/>
      <c r="G609" s="29"/>
      <c r="H609" s="29"/>
      <c r="I609" s="29"/>
      <c r="J609" s="29"/>
      <c r="K609" s="29"/>
      <c r="L609" s="29"/>
    </row>
    <row r="610" spans="1:12" ht="14.25" customHeight="1" x14ac:dyDescent="0.3">
      <c r="A610" s="40"/>
      <c r="B610" s="29"/>
      <c r="C610" s="29"/>
      <c r="D610" s="29"/>
      <c r="E610" s="29"/>
      <c r="F610" s="29"/>
      <c r="G610" s="29"/>
      <c r="H610" s="29"/>
      <c r="I610" s="29"/>
      <c r="J610" s="29"/>
      <c r="K610" s="29"/>
      <c r="L610" s="29"/>
    </row>
    <row r="611" spans="1:12" ht="14.25" customHeight="1" x14ac:dyDescent="0.3">
      <c r="A611" s="40"/>
      <c r="B611" s="29"/>
      <c r="C611" s="29"/>
      <c r="D611" s="29"/>
      <c r="E611" s="29"/>
      <c r="F611" s="29"/>
      <c r="G611" s="29"/>
      <c r="H611" s="29"/>
      <c r="I611" s="29"/>
      <c r="J611" s="29"/>
      <c r="K611" s="29"/>
      <c r="L611" s="29"/>
    </row>
    <row r="612" spans="1:12" ht="14.25" customHeight="1" x14ac:dyDescent="0.3">
      <c r="A612" s="40"/>
      <c r="B612" s="29"/>
      <c r="C612" s="29"/>
      <c r="D612" s="29"/>
      <c r="E612" s="29"/>
      <c r="F612" s="29"/>
      <c r="G612" s="29"/>
      <c r="H612" s="29"/>
      <c r="I612" s="29"/>
      <c r="J612" s="29"/>
      <c r="K612" s="29"/>
      <c r="L612" s="29"/>
    </row>
    <row r="613" spans="1:12" ht="14.25" customHeight="1" x14ac:dyDescent="0.3">
      <c r="A613" s="40"/>
      <c r="B613" s="29"/>
      <c r="C613" s="29"/>
      <c r="D613" s="29"/>
      <c r="E613" s="29"/>
      <c r="F613" s="29"/>
      <c r="G613" s="29"/>
      <c r="H613" s="29"/>
      <c r="I613" s="29"/>
      <c r="J613" s="29"/>
      <c r="K613" s="29"/>
      <c r="L613" s="29"/>
    </row>
    <row r="614" spans="1:12" ht="14.25" customHeight="1" x14ac:dyDescent="0.3">
      <c r="A614" s="40"/>
      <c r="B614" s="29"/>
      <c r="C614" s="29"/>
      <c r="D614" s="29"/>
      <c r="E614" s="29"/>
      <c r="F614" s="29"/>
      <c r="G614" s="29"/>
      <c r="H614" s="29"/>
      <c r="I614" s="29"/>
      <c r="J614" s="29"/>
      <c r="K614" s="29"/>
      <c r="L614" s="29"/>
    </row>
    <row r="615" spans="1:12" ht="14.25" customHeight="1" x14ac:dyDescent="0.3">
      <c r="A615" s="40"/>
      <c r="B615" s="29"/>
      <c r="C615" s="29"/>
      <c r="D615" s="29"/>
      <c r="E615" s="29"/>
      <c r="F615" s="29"/>
      <c r="G615" s="29"/>
      <c r="H615" s="29"/>
      <c r="I615" s="29"/>
      <c r="J615" s="29"/>
      <c r="K615" s="29"/>
      <c r="L615" s="29"/>
    </row>
    <row r="616" spans="1:12" ht="14.25" customHeight="1" x14ac:dyDescent="0.3">
      <c r="A616" s="40"/>
      <c r="B616" s="29"/>
      <c r="C616" s="29"/>
      <c r="D616" s="29"/>
      <c r="E616" s="29"/>
      <c r="F616" s="29"/>
      <c r="G616" s="29"/>
      <c r="H616" s="29"/>
      <c r="I616" s="29"/>
      <c r="J616" s="29"/>
      <c r="K616" s="29"/>
      <c r="L616" s="29"/>
    </row>
    <row r="617" spans="1:12" ht="14.25" customHeight="1" x14ac:dyDescent="0.3">
      <c r="A617" s="40"/>
      <c r="B617" s="29"/>
      <c r="C617" s="29"/>
      <c r="D617" s="29"/>
      <c r="E617" s="29"/>
      <c r="F617" s="29"/>
      <c r="G617" s="29"/>
      <c r="H617" s="29"/>
      <c r="I617" s="29"/>
      <c r="J617" s="29"/>
      <c r="K617" s="29"/>
      <c r="L617" s="29"/>
    </row>
    <row r="618" spans="1:12" ht="14.25" customHeight="1" x14ac:dyDescent="0.3">
      <c r="A618" s="40"/>
      <c r="B618" s="29"/>
      <c r="C618" s="29"/>
      <c r="D618" s="29"/>
      <c r="E618" s="29"/>
      <c r="F618" s="29"/>
      <c r="G618" s="29"/>
      <c r="H618" s="29"/>
      <c r="I618" s="29"/>
      <c r="J618" s="29"/>
      <c r="K618" s="29"/>
      <c r="L618" s="29"/>
    </row>
    <row r="619" spans="1:12" ht="14.25" customHeight="1" x14ac:dyDescent="0.3">
      <c r="A619" s="40"/>
      <c r="B619" s="29"/>
      <c r="C619" s="29"/>
      <c r="D619" s="29"/>
      <c r="E619" s="29"/>
      <c r="F619" s="29"/>
      <c r="G619" s="29"/>
      <c r="H619" s="29"/>
      <c r="I619" s="29"/>
      <c r="J619" s="29"/>
      <c r="K619" s="29"/>
      <c r="L619" s="29"/>
    </row>
    <row r="620" spans="1:12" ht="14.25" customHeight="1" x14ac:dyDescent="0.3">
      <c r="A620" s="40"/>
      <c r="B620" s="29"/>
      <c r="C620" s="29"/>
      <c r="D620" s="29"/>
      <c r="E620" s="29"/>
      <c r="F620" s="29"/>
      <c r="G620" s="29"/>
      <c r="H620" s="29"/>
      <c r="I620" s="29"/>
      <c r="J620" s="29"/>
      <c r="K620" s="29"/>
      <c r="L620" s="29"/>
    </row>
    <row r="621" spans="1:12" ht="14.25" customHeight="1" x14ac:dyDescent="0.3">
      <c r="A621" s="40"/>
      <c r="B621" s="29"/>
      <c r="C621" s="29"/>
      <c r="D621" s="29"/>
      <c r="E621" s="29"/>
      <c r="F621" s="29"/>
      <c r="G621" s="29"/>
      <c r="H621" s="29"/>
      <c r="I621" s="29"/>
      <c r="J621" s="29"/>
      <c r="K621" s="29"/>
      <c r="L621" s="29"/>
    </row>
    <row r="622" spans="1:12" ht="14.25" customHeight="1" x14ac:dyDescent="0.3">
      <c r="A622" s="40"/>
      <c r="B622" s="29"/>
      <c r="C622" s="29"/>
      <c r="D622" s="29"/>
      <c r="E622" s="29"/>
      <c r="F622" s="29"/>
      <c r="G622" s="29"/>
      <c r="H622" s="29"/>
      <c r="I622" s="29"/>
      <c r="J622" s="29"/>
      <c r="K622" s="29"/>
      <c r="L622" s="29"/>
    </row>
    <row r="623" spans="1:12" ht="14.25" customHeight="1" x14ac:dyDescent="0.3">
      <c r="A623" s="40"/>
      <c r="B623" s="29"/>
      <c r="C623" s="29"/>
      <c r="D623" s="29"/>
      <c r="E623" s="29"/>
      <c r="F623" s="29"/>
      <c r="G623" s="29"/>
      <c r="H623" s="29"/>
      <c r="I623" s="29"/>
      <c r="J623" s="29"/>
      <c r="K623" s="29"/>
      <c r="L623" s="29"/>
    </row>
    <row r="624" spans="1:12" ht="14.25" customHeight="1" x14ac:dyDescent="0.3">
      <c r="A624" s="40"/>
      <c r="B624" s="29"/>
      <c r="C624" s="29"/>
      <c r="D624" s="29"/>
      <c r="E624" s="29"/>
      <c r="F624" s="29"/>
      <c r="G624" s="29"/>
      <c r="H624" s="29"/>
      <c r="I624" s="29"/>
      <c r="J624" s="29"/>
      <c r="K624" s="29"/>
      <c r="L624" s="29"/>
    </row>
    <row r="625" spans="1:12" ht="14.25" customHeight="1" x14ac:dyDescent="0.3">
      <c r="A625" s="40"/>
      <c r="B625" s="29"/>
      <c r="C625" s="29"/>
      <c r="D625" s="29"/>
      <c r="E625" s="29"/>
      <c r="F625" s="29"/>
      <c r="G625" s="29"/>
      <c r="H625" s="29"/>
      <c r="I625" s="29"/>
      <c r="J625" s="29"/>
      <c r="K625" s="29"/>
      <c r="L625" s="29"/>
    </row>
    <row r="626" spans="1:12" ht="14.25" customHeight="1" x14ac:dyDescent="0.3">
      <c r="A626" s="40"/>
      <c r="B626" s="29"/>
      <c r="C626" s="29"/>
      <c r="D626" s="29"/>
      <c r="E626" s="29"/>
      <c r="F626" s="29"/>
      <c r="G626" s="29"/>
      <c r="H626" s="29"/>
      <c r="I626" s="29"/>
      <c r="J626" s="29"/>
      <c r="K626" s="29"/>
      <c r="L626" s="29"/>
    </row>
    <row r="627" spans="1:12" ht="14.25" customHeight="1" x14ac:dyDescent="0.3">
      <c r="A627" s="40"/>
      <c r="B627" s="29"/>
      <c r="C627" s="29"/>
      <c r="D627" s="29"/>
      <c r="E627" s="29"/>
      <c r="F627" s="29"/>
      <c r="G627" s="29"/>
      <c r="H627" s="29"/>
      <c r="I627" s="29"/>
      <c r="J627" s="29"/>
      <c r="K627" s="29"/>
      <c r="L627" s="29"/>
    </row>
    <row r="628" spans="1:12" ht="14.25" customHeight="1" x14ac:dyDescent="0.3">
      <c r="A628" s="40"/>
      <c r="B628" s="29"/>
      <c r="C628" s="29"/>
      <c r="D628" s="29"/>
      <c r="E628" s="29"/>
      <c r="F628" s="29"/>
      <c r="G628" s="29"/>
      <c r="H628" s="29"/>
      <c r="I628" s="29"/>
      <c r="J628" s="29"/>
      <c r="K628" s="29"/>
      <c r="L628" s="29"/>
    </row>
    <row r="629" spans="1:12" ht="14.25" customHeight="1" x14ac:dyDescent="0.3">
      <c r="A629" s="40"/>
      <c r="B629" s="29"/>
      <c r="C629" s="29"/>
      <c r="D629" s="29"/>
      <c r="E629" s="29"/>
      <c r="F629" s="29"/>
      <c r="G629" s="29"/>
      <c r="H629" s="29"/>
      <c r="I629" s="29"/>
      <c r="J629" s="29"/>
      <c r="K629" s="29"/>
      <c r="L629" s="29"/>
    </row>
    <row r="630" spans="1:12" ht="14.25" customHeight="1" x14ac:dyDescent="0.3">
      <c r="A630" s="40"/>
      <c r="B630" s="29"/>
      <c r="C630" s="29"/>
      <c r="D630" s="29"/>
      <c r="E630" s="29"/>
      <c r="F630" s="29"/>
      <c r="G630" s="29"/>
      <c r="H630" s="29"/>
      <c r="I630" s="29"/>
      <c r="J630" s="29"/>
      <c r="K630" s="29"/>
      <c r="L630" s="29"/>
    </row>
    <row r="631" spans="1:12" ht="14.25" customHeight="1" x14ac:dyDescent="0.3">
      <c r="A631" s="40"/>
      <c r="B631" s="29"/>
      <c r="C631" s="29"/>
      <c r="D631" s="29"/>
      <c r="E631" s="29"/>
      <c r="F631" s="29"/>
      <c r="G631" s="29"/>
      <c r="H631" s="29"/>
      <c r="I631" s="29"/>
      <c r="J631" s="29"/>
      <c r="K631" s="29"/>
      <c r="L631" s="29"/>
    </row>
    <row r="632" spans="1:12" ht="14.25" customHeight="1" x14ac:dyDescent="0.3">
      <c r="A632" s="40"/>
      <c r="B632" s="29"/>
      <c r="C632" s="29"/>
      <c r="D632" s="29"/>
      <c r="E632" s="29"/>
      <c r="F632" s="29"/>
      <c r="G632" s="29"/>
      <c r="H632" s="29"/>
      <c r="I632" s="29"/>
      <c r="J632" s="29"/>
      <c r="K632" s="29"/>
      <c r="L632" s="29"/>
    </row>
    <row r="633" spans="1:12" ht="14.25" customHeight="1" x14ac:dyDescent="0.3">
      <c r="A633" s="40"/>
      <c r="B633" s="29"/>
      <c r="C633" s="29"/>
      <c r="D633" s="29"/>
      <c r="E633" s="29"/>
      <c r="F633" s="29"/>
      <c r="G633" s="29"/>
      <c r="H633" s="29"/>
      <c r="I633" s="29"/>
      <c r="J633" s="29"/>
      <c r="K633" s="29"/>
      <c r="L633" s="29"/>
    </row>
    <row r="634" spans="1:12" ht="14.25" customHeight="1" x14ac:dyDescent="0.3">
      <c r="A634" s="40"/>
      <c r="B634" s="29"/>
      <c r="C634" s="29"/>
      <c r="D634" s="29"/>
      <c r="E634" s="29"/>
      <c r="F634" s="29"/>
      <c r="G634" s="29"/>
      <c r="H634" s="29"/>
      <c r="I634" s="29"/>
      <c r="J634" s="29"/>
      <c r="K634" s="29"/>
      <c r="L634" s="29"/>
    </row>
    <row r="635" spans="1:12" ht="14.25" customHeight="1" x14ac:dyDescent="0.3">
      <c r="A635" s="40"/>
      <c r="B635" s="29"/>
      <c r="C635" s="29"/>
      <c r="D635" s="29"/>
      <c r="E635" s="29"/>
      <c r="F635" s="29"/>
      <c r="G635" s="29"/>
      <c r="H635" s="29"/>
      <c r="I635" s="29"/>
      <c r="J635" s="29"/>
      <c r="K635" s="29"/>
      <c r="L635" s="29"/>
    </row>
    <row r="636" spans="1:12" ht="14.25" customHeight="1" x14ac:dyDescent="0.3">
      <c r="A636" s="40"/>
      <c r="B636" s="29"/>
      <c r="C636" s="29"/>
      <c r="D636" s="29"/>
      <c r="E636" s="29"/>
      <c r="F636" s="29"/>
      <c r="G636" s="29"/>
      <c r="H636" s="29"/>
      <c r="I636" s="29"/>
      <c r="J636" s="29"/>
      <c r="K636" s="29"/>
      <c r="L636" s="29"/>
    </row>
    <row r="637" spans="1:12" ht="14.25" customHeight="1" x14ac:dyDescent="0.3">
      <c r="A637" s="40"/>
      <c r="B637" s="29"/>
      <c r="C637" s="29"/>
      <c r="D637" s="29"/>
      <c r="E637" s="29"/>
      <c r="F637" s="29"/>
      <c r="G637" s="29"/>
      <c r="H637" s="29"/>
      <c r="I637" s="29"/>
      <c r="J637" s="29"/>
      <c r="K637" s="29"/>
      <c r="L637" s="29"/>
    </row>
    <row r="638" spans="1:12" ht="14.25" customHeight="1" x14ac:dyDescent="0.3">
      <c r="A638" s="40"/>
      <c r="B638" s="29"/>
      <c r="C638" s="29"/>
      <c r="D638" s="29"/>
      <c r="E638" s="29"/>
      <c r="F638" s="29"/>
      <c r="G638" s="29"/>
      <c r="H638" s="29"/>
      <c r="I638" s="29"/>
      <c r="J638" s="29"/>
      <c r="K638" s="29"/>
      <c r="L638" s="29"/>
    </row>
    <row r="639" spans="1:12" ht="14.25" customHeight="1" x14ac:dyDescent="0.3">
      <c r="A639" s="40"/>
      <c r="B639" s="29"/>
      <c r="C639" s="29"/>
      <c r="D639" s="29"/>
      <c r="E639" s="29"/>
      <c r="F639" s="29"/>
      <c r="G639" s="29"/>
      <c r="H639" s="29"/>
      <c r="I639" s="29"/>
      <c r="J639" s="29"/>
      <c r="K639" s="29"/>
      <c r="L639" s="29"/>
    </row>
    <row r="640" spans="1:12" ht="14.25" customHeight="1" x14ac:dyDescent="0.3">
      <c r="A640" s="40"/>
      <c r="B640" s="29"/>
      <c r="C640" s="29"/>
      <c r="D640" s="29"/>
      <c r="E640" s="29"/>
      <c r="F640" s="29"/>
      <c r="G640" s="29"/>
      <c r="H640" s="29"/>
      <c r="I640" s="29"/>
      <c r="J640" s="29"/>
      <c r="K640" s="29"/>
      <c r="L640" s="29"/>
    </row>
    <row r="641" spans="1:12" ht="14.25" customHeight="1" x14ac:dyDescent="0.3">
      <c r="A641" s="40"/>
      <c r="B641" s="29"/>
      <c r="C641" s="29"/>
      <c r="D641" s="29"/>
      <c r="E641" s="29"/>
      <c r="F641" s="29"/>
      <c r="G641" s="29"/>
      <c r="H641" s="29"/>
      <c r="I641" s="29"/>
      <c r="J641" s="29"/>
      <c r="K641" s="29"/>
      <c r="L641" s="29"/>
    </row>
    <row r="642" spans="1:12" ht="14.25" customHeight="1" x14ac:dyDescent="0.3">
      <c r="A642" s="40"/>
      <c r="B642" s="29"/>
      <c r="C642" s="29"/>
      <c r="D642" s="29"/>
      <c r="E642" s="29"/>
      <c r="F642" s="29"/>
      <c r="G642" s="29"/>
      <c r="H642" s="29"/>
      <c r="I642" s="29"/>
      <c r="J642" s="29"/>
      <c r="K642" s="29"/>
      <c r="L642" s="29"/>
    </row>
    <row r="643" spans="1:12" ht="14.25" customHeight="1" x14ac:dyDescent="0.3">
      <c r="A643" s="40"/>
      <c r="B643" s="29"/>
      <c r="C643" s="29"/>
      <c r="D643" s="29"/>
      <c r="E643" s="29"/>
      <c r="F643" s="29"/>
      <c r="G643" s="29"/>
      <c r="H643" s="29"/>
      <c r="I643" s="29"/>
      <c r="J643" s="29"/>
      <c r="K643" s="29"/>
      <c r="L643" s="29"/>
    </row>
    <row r="644" spans="1:12" ht="14.25" customHeight="1" x14ac:dyDescent="0.3">
      <c r="A644" s="40"/>
      <c r="B644" s="29"/>
      <c r="C644" s="29"/>
      <c r="D644" s="29"/>
      <c r="E644" s="29"/>
      <c r="F644" s="29"/>
      <c r="G644" s="29"/>
      <c r="H644" s="29"/>
      <c r="I644" s="29"/>
      <c r="J644" s="29"/>
      <c r="K644" s="29"/>
      <c r="L644" s="29"/>
    </row>
    <row r="645" spans="1:12" ht="14.25" customHeight="1" x14ac:dyDescent="0.3">
      <c r="A645" s="40"/>
      <c r="B645" s="29"/>
      <c r="C645" s="29"/>
      <c r="D645" s="29"/>
      <c r="E645" s="29"/>
      <c r="F645" s="29"/>
      <c r="G645" s="29"/>
      <c r="H645" s="29"/>
      <c r="I645" s="29"/>
      <c r="J645" s="29"/>
      <c r="K645" s="29"/>
      <c r="L645" s="29"/>
    </row>
    <row r="646" spans="1:12" ht="14.25" customHeight="1" x14ac:dyDescent="0.3">
      <c r="A646" s="40"/>
      <c r="B646" s="29"/>
      <c r="C646" s="29"/>
      <c r="D646" s="29"/>
      <c r="E646" s="29"/>
      <c r="F646" s="29"/>
      <c r="G646" s="29"/>
      <c r="H646" s="29"/>
      <c r="I646" s="29"/>
      <c r="J646" s="29"/>
      <c r="K646" s="29"/>
      <c r="L646" s="29"/>
    </row>
    <row r="647" spans="1:12" ht="14.25" customHeight="1" x14ac:dyDescent="0.3">
      <c r="A647" s="40"/>
      <c r="B647" s="29"/>
      <c r="C647" s="29"/>
      <c r="D647" s="29"/>
      <c r="E647" s="29"/>
      <c r="F647" s="29"/>
      <c r="G647" s="29"/>
      <c r="H647" s="29"/>
      <c r="I647" s="29"/>
      <c r="J647" s="29"/>
      <c r="K647" s="29"/>
      <c r="L647" s="29"/>
    </row>
    <row r="648" spans="1:12" ht="14.25" customHeight="1" x14ac:dyDescent="0.3">
      <c r="A648" s="40"/>
      <c r="B648" s="29"/>
      <c r="C648" s="29"/>
      <c r="D648" s="29"/>
      <c r="E648" s="29"/>
      <c r="F648" s="29"/>
      <c r="G648" s="29"/>
      <c r="H648" s="29"/>
      <c r="I648" s="29"/>
      <c r="J648" s="29"/>
      <c r="K648" s="29"/>
      <c r="L648" s="29"/>
    </row>
    <row r="649" spans="1:12" ht="14.25" customHeight="1" x14ac:dyDescent="0.3">
      <c r="A649" s="40"/>
      <c r="B649" s="29"/>
      <c r="C649" s="29"/>
      <c r="D649" s="29"/>
      <c r="E649" s="29"/>
      <c r="F649" s="29"/>
      <c r="G649" s="29"/>
      <c r="H649" s="29"/>
      <c r="I649" s="29"/>
      <c r="J649" s="29"/>
      <c r="K649" s="29"/>
      <c r="L649" s="29"/>
    </row>
    <row r="650" spans="1:12" ht="14.25" customHeight="1" x14ac:dyDescent="0.3">
      <c r="A650" s="40"/>
      <c r="B650" s="29"/>
      <c r="C650" s="29"/>
      <c r="D650" s="29"/>
      <c r="E650" s="29"/>
      <c r="F650" s="29"/>
      <c r="G650" s="29"/>
      <c r="H650" s="29"/>
      <c r="I650" s="29"/>
      <c r="J650" s="29"/>
      <c r="K650" s="29"/>
      <c r="L650" s="29"/>
    </row>
    <row r="651" spans="1:12" ht="14.25" customHeight="1" x14ac:dyDescent="0.3">
      <c r="A651" s="40"/>
      <c r="B651" s="29"/>
      <c r="C651" s="29"/>
      <c r="D651" s="29"/>
      <c r="E651" s="29"/>
      <c r="F651" s="29"/>
      <c r="G651" s="29"/>
      <c r="H651" s="29"/>
      <c r="I651" s="29"/>
      <c r="J651" s="29"/>
      <c r="K651" s="29"/>
      <c r="L651" s="29"/>
    </row>
    <row r="652" spans="1:12" ht="14.25" customHeight="1" x14ac:dyDescent="0.3">
      <c r="A652" s="40"/>
      <c r="B652" s="29"/>
      <c r="C652" s="29"/>
      <c r="D652" s="29"/>
      <c r="E652" s="29"/>
      <c r="F652" s="29"/>
      <c r="G652" s="29"/>
      <c r="H652" s="29"/>
      <c r="I652" s="29"/>
      <c r="J652" s="29"/>
      <c r="K652" s="29"/>
      <c r="L652" s="29"/>
    </row>
    <row r="653" spans="1:12" ht="14.25" customHeight="1" x14ac:dyDescent="0.3">
      <c r="A653" s="40"/>
      <c r="B653" s="29"/>
      <c r="C653" s="29"/>
      <c r="D653" s="29"/>
      <c r="E653" s="29"/>
      <c r="F653" s="29"/>
      <c r="G653" s="29"/>
      <c r="H653" s="29"/>
      <c r="I653" s="29"/>
      <c r="J653" s="29"/>
      <c r="K653" s="29"/>
      <c r="L653" s="29"/>
    </row>
    <row r="654" spans="1:12" ht="14.25" customHeight="1" x14ac:dyDescent="0.3">
      <c r="A654" s="40"/>
      <c r="B654" s="29"/>
      <c r="C654" s="29"/>
      <c r="D654" s="29"/>
      <c r="E654" s="29"/>
      <c r="F654" s="29"/>
      <c r="G654" s="29"/>
      <c r="H654" s="29"/>
      <c r="I654" s="29"/>
      <c r="J654" s="29"/>
      <c r="K654" s="29"/>
      <c r="L654" s="29"/>
    </row>
    <row r="655" spans="1:12" ht="14.25" customHeight="1" x14ac:dyDescent="0.3">
      <c r="A655" s="40"/>
      <c r="B655" s="29"/>
      <c r="C655" s="29"/>
      <c r="D655" s="29"/>
      <c r="E655" s="29"/>
      <c r="F655" s="29"/>
      <c r="G655" s="29"/>
      <c r="H655" s="29"/>
      <c r="I655" s="29"/>
      <c r="J655" s="29"/>
      <c r="K655" s="29"/>
      <c r="L655" s="29"/>
    </row>
    <row r="656" spans="1:12" ht="14.25" customHeight="1" x14ac:dyDescent="0.3">
      <c r="A656" s="40"/>
      <c r="B656" s="29"/>
      <c r="C656" s="29"/>
      <c r="D656" s="29"/>
      <c r="E656" s="29"/>
      <c r="F656" s="29"/>
      <c r="G656" s="29"/>
      <c r="H656" s="29"/>
      <c r="I656" s="29"/>
      <c r="J656" s="29"/>
      <c r="K656" s="29"/>
      <c r="L656" s="29"/>
    </row>
    <row r="657" spans="1:12" ht="14.25" customHeight="1" x14ac:dyDescent="0.3">
      <c r="A657" s="40"/>
      <c r="B657" s="29"/>
      <c r="C657" s="29"/>
      <c r="D657" s="29"/>
      <c r="E657" s="29"/>
      <c r="F657" s="29"/>
      <c r="G657" s="29"/>
      <c r="H657" s="29"/>
      <c r="I657" s="29"/>
      <c r="J657" s="29"/>
      <c r="K657" s="29"/>
      <c r="L657" s="29"/>
    </row>
    <row r="658" spans="1:12" ht="14.25" customHeight="1" x14ac:dyDescent="0.3">
      <c r="A658" s="40"/>
      <c r="B658" s="29"/>
      <c r="C658" s="29"/>
      <c r="D658" s="29"/>
      <c r="E658" s="29"/>
      <c r="F658" s="29"/>
      <c r="G658" s="29"/>
      <c r="H658" s="29"/>
      <c r="I658" s="29"/>
      <c r="J658" s="29"/>
      <c r="K658" s="29"/>
      <c r="L658" s="29"/>
    </row>
    <row r="659" spans="1:12" ht="14.25" customHeight="1" x14ac:dyDescent="0.3">
      <c r="A659" s="40"/>
      <c r="B659" s="29"/>
      <c r="C659" s="29"/>
      <c r="D659" s="29"/>
      <c r="E659" s="29"/>
      <c r="F659" s="29"/>
      <c r="G659" s="29"/>
      <c r="H659" s="29"/>
      <c r="I659" s="29"/>
      <c r="J659" s="29"/>
      <c r="K659" s="29"/>
      <c r="L659" s="29"/>
    </row>
    <row r="660" spans="1:12" ht="14.25" customHeight="1" x14ac:dyDescent="0.3">
      <c r="A660" s="40"/>
      <c r="B660" s="29"/>
      <c r="C660" s="29"/>
      <c r="D660" s="29"/>
      <c r="E660" s="29"/>
      <c r="F660" s="29"/>
      <c r="G660" s="29"/>
      <c r="H660" s="29"/>
      <c r="I660" s="29"/>
      <c r="J660" s="29"/>
      <c r="K660" s="29"/>
      <c r="L660" s="29"/>
    </row>
    <row r="661" spans="1:12" ht="14.25" customHeight="1" x14ac:dyDescent="0.3">
      <c r="A661" s="40"/>
      <c r="B661" s="29"/>
      <c r="C661" s="29"/>
      <c r="D661" s="29"/>
      <c r="E661" s="29"/>
      <c r="F661" s="29"/>
      <c r="G661" s="29"/>
      <c r="H661" s="29"/>
      <c r="I661" s="29"/>
      <c r="J661" s="29"/>
      <c r="K661" s="29"/>
      <c r="L661" s="29"/>
    </row>
    <row r="662" spans="1:12" ht="14.25" customHeight="1" x14ac:dyDescent="0.3">
      <c r="A662" s="40"/>
      <c r="B662" s="29"/>
      <c r="C662" s="29"/>
      <c r="D662" s="29"/>
      <c r="E662" s="29"/>
      <c r="F662" s="29"/>
      <c r="G662" s="29"/>
      <c r="H662" s="29"/>
      <c r="I662" s="29"/>
      <c r="J662" s="29"/>
      <c r="K662" s="29"/>
      <c r="L662" s="29"/>
    </row>
    <row r="663" spans="1:12" ht="14.25" customHeight="1" x14ac:dyDescent="0.3">
      <c r="A663" s="40"/>
      <c r="B663" s="29"/>
      <c r="C663" s="29"/>
      <c r="D663" s="29"/>
      <c r="E663" s="29"/>
      <c r="F663" s="29"/>
      <c r="G663" s="29"/>
      <c r="H663" s="29"/>
      <c r="I663" s="29"/>
      <c r="J663" s="29"/>
      <c r="K663" s="29"/>
      <c r="L663" s="29"/>
    </row>
    <row r="664" spans="1:12" ht="14.25" customHeight="1" x14ac:dyDescent="0.3">
      <c r="A664" s="40"/>
      <c r="B664" s="29"/>
      <c r="C664" s="29"/>
      <c r="D664" s="29"/>
      <c r="E664" s="29"/>
      <c r="F664" s="29"/>
      <c r="G664" s="29"/>
      <c r="H664" s="29"/>
      <c r="I664" s="29"/>
      <c r="J664" s="29"/>
      <c r="K664" s="29"/>
      <c r="L664" s="29"/>
    </row>
    <row r="665" spans="1:12" ht="14.25" customHeight="1" x14ac:dyDescent="0.3">
      <c r="A665" s="40"/>
      <c r="B665" s="29"/>
      <c r="C665" s="29"/>
      <c r="D665" s="29"/>
      <c r="E665" s="29"/>
      <c r="F665" s="29"/>
      <c r="G665" s="29"/>
      <c r="H665" s="29"/>
      <c r="I665" s="29"/>
      <c r="J665" s="29"/>
      <c r="K665" s="29"/>
      <c r="L665" s="29"/>
    </row>
    <row r="666" spans="1:12" ht="14.25" customHeight="1" x14ac:dyDescent="0.3">
      <c r="A666" s="40"/>
      <c r="B666" s="29"/>
      <c r="C666" s="29"/>
      <c r="D666" s="29"/>
      <c r="E666" s="29"/>
      <c r="F666" s="29"/>
      <c r="G666" s="29"/>
      <c r="H666" s="29"/>
      <c r="I666" s="29"/>
      <c r="J666" s="29"/>
      <c r="K666" s="29"/>
      <c r="L666" s="29"/>
    </row>
    <row r="667" spans="1:12" ht="14.25" customHeight="1" x14ac:dyDescent="0.3">
      <c r="A667" s="40"/>
      <c r="B667" s="29"/>
      <c r="C667" s="29"/>
      <c r="D667" s="29"/>
      <c r="E667" s="29"/>
      <c r="F667" s="29"/>
      <c r="G667" s="29"/>
      <c r="H667" s="29"/>
      <c r="I667" s="29"/>
      <c r="J667" s="29"/>
      <c r="K667" s="29"/>
      <c r="L667" s="29"/>
    </row>
    <row r="668" spans="1:12" ht="14.25" customHeight="1" x14ac:dyDescent="0.3">
      <c r="A668" s="40"/>
      <c r="B668" s="29"/>
      <c r="C668" s="29"/>
      <c r="D668" s="29"/>
      <c r="E668" s="29"/>
      <c r="F668" s="29"/>
      <c r="G668" s="29"/>
      <c r="H668" s="29"/>
      <c r="I668" s="29"/>
      <c r="J668" s="29"/>
      <c r="K668" s="29"/>
      <c r="L668" s="29"/>
    </row>
    <row r="669" spans="1:12" ht="14.25" customHeight="1" x14ac:dyDescent="0.3">
      <c r="A669" s="40"/>
      <c r="B669" s="29"/>
      <c r="C669" s="29"/>
      <c r="D669" s="29"/>
      <c r="E669" s="29"/>
      <c r="F669" s="29"/>
      <c r="G669" s="29"/>
      <c r="H669" s="29"/>
      <c r="I669" s="29"/>
      <c r="J669" s="29"/>
      <c r="K669" s="29"/>
      <c r="L669" s="29"/>
    </row>
    <row r="670" spans="1:12" ht="14.25" customHeight="1" x14ac:dyDescent="0.3">
      <c r="A670" s="40"/>
      <c r="B670" s="29"/>
      <c r="C670" s="29"/>
      <c r="D670" s="29"/>
      <c r="E670" s="29"/>
      <c r="F670" s="29"/>
      <c r="G670" s="29"/>
      <c r="H670" s="29"/>
      <c r="I670" s="29"/>
      <c r="J670" s="29"/>
      <c r="K670" s="29"/>
      <c r="L670" s="29"/>
    </row>
    <row r="671" spans="1:12" ht="14.25" customHeight="1" x14ac:dyDescent="0.3">
      <c r="A671" s="40"/>
      <c r="B671" s="29"/>
      <c r="C671" s="29"/>
      <c r="D671" s="29"/>
      <c r="E671" s="29"/>
      <c r="F671" s="29"/>
      <c r="G671" s="29"/>
      <c r="H671" s="29"/>
      <c r="I671" s="29"/>
      <c r="J671" s="29"/>
      <c r="K671" s="29"/>
      <c r="L671" s="29"/>
    </row>
    <row r="672" spans="1:12" ht="14.25" customHeight="1" x14ac:dyDescent="0.3">
      <c r="A672" s="40"/>
      <c r="B672" s="29"/>
      <c r="C672" s="29"/>
      <c r="D672" s="29"/>
      <c r="E672" s="29"/>
      <c r="F672" s="29"/>
      <c r="G672" s="29"/>
      <c r="H672" s="29"/>
      <c r="I672" s="29"/>
      <c r="J672" s="29"/>
      <c r="K672" s="29"/>
      <c r="L672" s="29"/>
    </row>
    <row r="673" spans="1:12" ht="14.25" customHeight="1" x14ac:dyDescent="0.3">
      <c r="A673" s="40"/>
      <c r="B673" s="29"/>
      <c r="C673" s="29"/>
      <c r="D673" s="29"/>
      <c r="E673" s="29"/>
      <c r="F673" s="29"/>
      <c r="G673" s="29"/>
      <c r="H673" s="29"/>
      <c r="I673" s="29"/>
      <c r="J673" s="29"/>
      <c r="K673" s="29"/>
      <c r="L673" s="29"/>
    </row>
    <row r="674" spans="1:12" ht="14.25" customHeight="1" x14ac:dyDescent="0.3">
      <c r="A674" s="40"/>
      <c r="B674" s="29"/>
      <c r="C674" s="29"/>
      <c r="D674" s="29"/>
      <c r="E674" s="29"/>
      <c r="F674" s="29"/>
      <c r="G674" s="29"/>
      <c r="H674" s="29"/>
      <c r="I674" s="29"/>
      <c r="J674" s="29"/>
      <c r="K674" s="29"/>
      <c r="L674" s="29"/>
    </row>
    <row r="675" spans="1:12" ht="14.25" customHeight="1" x14ac:dyDescent="0.3">
      <c r="A675" s="40"/>
      <c r="B675" s="29"/>
      <c r="C675" s="29"/>
      <c r="D675" s="29"/>
      <c r="E675" s="29"/>
      <c r="F675" s="29"/>
      <c r="G675" s="29"/>
      <c r="H675" s="29"/>
      <c r="I675" s="29"/>
      <c r="J675" s="29"/>
      <c r="K675" s="29"/>
      <c r="L675" s="29"/>
    </row>
    <row r="676" spans="1:12" ht="14.25" customHeight="1" x14ac:dyDescent="0.3">
      <c r="A676" s="40"/>
      <c r="B676" s="29"/>
      <c r="C676" s="29"/>
      <c r="D676" s="29"/>
      <c r="E676" s="29"/>
      <c r="F676" s="29"/>
      <c r="G676" s="29"/>
      <c r="H676" s="29"/>
      <c r="I676" s="29"/>
      <c r="J676" s="29"/>
      <c r="K676" s="29"/>
      <c r="L676" s="29"/>
    </row>
    <row r="677" spans="1:12" ht="14.25" customHeight="1" x14ac:dyDescent="0.3">
      <c r="A677" s="40"/>
      <c r="B677" s="29"/>
      <c r="C677" s="29"/>
      <c r="D677" s="29"/>
      <c r="E677" s="29"/>
      <c r="F677" s="29"/>
      <c r="G677" s="29"/>
      <c r="H677" s="29"/>
      <c r="I677" s="29"/>
      <c r="J677" s="29"/>
      <c r="K677" s="29"/>
      <c r="L677" s="29"/>
    </row>
    <row r="678" spans="1:12" ht="14.25" customHeight="1" x14ac:dyDescent="0.3">
      <c r="A678" s="40"/>
      <c r="B678" s="29"/>
      <c r="C678" s="29"/>
      <c r="D678" s="29"/>
      <c r="E678" s="29"/>
      <c r="F678" s="29"/>
      <c r="G678" s="29"/>
      <c r="H678" s="29"/>
      <c r="I678" s="29"/>
      <c r="J678" s="29"/>
      <c r="K678" s="29"/>
      <c r="L678" s="29"/>
    </row>
    <row r="679" spans="1:12" ht="14.25" customHeight="1" x14ac:dyDescent="0.3">
      <c r="A679" s="40"/>
      <c r="B679" s="29"/>
      <c r="C679" s="29"/>
      <c r="D679" s="29"/>
      <c r="E679" s="29"/>
      <c r="F679" s="29"/>
      <c r="G679" s="29"/>
      <c r="H679" s="29"/>
      <c r="I679" s="29"/>
      <c r="J679" s="29"/>
      <c r="K679" s="29"/>
      <c r="L679" s="29"/>
    </row>
    <row r="680" spans="1:12" ht="14.25" customHeight="1" x14ac:dyDescent="0.3">
      <c r="A680" s="40"/>
      <c r="B680" s="29"/>
      <c r="C680" s="29"/>
      <c r="D680" s="29"/>
      <c r="E680" s="29"/>
      <c r="F680" s="29"/>
      <c r="G680" s="29"/>
      <c r="H680" s="29"/>
      <c r="I680" s="29"/>
      <c r="J680" s="29"/>
      <c r="K680" s="29"/>
      <c r="L680" s="29"/>
    </row>
    <row r="681" spans="1:12" ht="14.25" customHeight="1" x14ac:dyDescent="0.3">
      <c r="A681" s="40"/>
      <c r="B681" s="29"/>
      <c r="C681" s="29"/>
      <c r="D681" s="29"/>
      <c r="E681" s="29"/>
      <c r="F681" s="29"/>
      <c r="G681" s="29"/>
      <c r="H681" s="29"/>
      <c r="I681" s="29"/>
      <c r="J681" s="29"/>
      <c r="K681" s="29"/>
      <c r="L681" s="29"/>
    </row>
    <row r="682" spans="1:12" ht="14.25" customHeight="1" x14ac:dyDescent="0.3">
      <c r="A682" s="40"/>
      <c r="B682" s="29"/>
      <c r="C682" s="29"/>
      <c r="D682" s="29"/>
      <c r="E682" s="29"/>
      <c r="F682" s="29"/>
      <c r="G682" s="29"/>
      <c r="H682" s="29"/>
      <c r="I682" s="29"/>
      <c r="J682" s="29"/>
      <c r="K682" s="29"/>
      <c r="L682" s="29"/>
    </row>
    <row r="683" spans="1:12" ht="14.25" customHeight="1" x14ac:dyDescent="0.3">
      <c r="A683" s="40"/>
      <c r="B683" s="29"/>
      <c r="C683" s="29"/>
      <c r="D683" s="29"/>
      <c r="E683" s="29"/>
      <c r="F683" s="29"/>
      <c r="G683" s="29"/>
      <c r="H683" s="29"/>
      <c r="I683" s="29"/>
      <c r="J683" s="29"/>
      <c r="K683" s="29"/>
      <c r="L683" s="29"/>
    </row>
    <row r="684" spans="1:12" ht="14.25" customHeight="1" x14ac:dyDescent="0.3">
      <c r="A684" s="40"/>
      <c r="B684" s="29"/>
      <c r="C684" s="29"/>
      <c r="D684" s="29"/>
      <c r="E684" s="29"/>
      <c r="F684" s="29"/>
      <c r="G684" s="29"/>
      <c r="H684" s="29"/>
      <c r="I684" s="29"/>
      <c r="J684" s="29"/>
      <c r="K684" s="29"/>
      <c r="L684" s="29"/>
    </row>
    <row r="685" spans="1:12" ht="14.25" customHeight="1" x14ac:dyDescent="0.3">
      <c r="A685" s="40"/>
      <c r="B685" s="29"/>
      <c r="C685" s="29"/>
      <c r="D685" s="29"/>
      <c r="E685" s="29"/>
      <c r="F685" s="29"/>
      <c r="G685" s="29"/>
      <c r="H685" s="29"/>
      <c r="I685" s="29"/>
      <c r="J685" s="29"/>
      <c r="K685" s="29"/>
      <c r="L685" s="29"/>
    </row>
    <row r="686" spans="1:12" ht="14.25" customHeight="1" x14ac:dyDescent="0.3">
      <c r="A686" s="40"/>
      <c r="B686" s="29"/>
      <c r="C686" s="29"/>
      <c r="D686" s="29"/>
      <c r="E686" s="29"/>
      <c r="F686" s="29"/>
      <c r="G686" s="29"/>
      <c r="H686" s="29"/>
      <c r="I686" s="29"/>
      <c r="J686" s="29"/>
      <c r="K686" s="29"/>
      <c r="L686" s="29"/>
    </row>
    <row r="687" spans="1:12" ht="14.25" customHeight="1" x14ac:dyDescent="0.3">
      <c r="A687" s="40"/>
      <c r="B687" s="29"/>
      <c r="C687" s="29"/>
      <c r="D687" s="29"/>
      <c r="E687" s="29"/>
      <c r="F687" s="29"/>
      <c r="G687" s="29"/>
      <c r="H687" s="29"/>
      <c r="I687" s="29"/>
      <c r="J687" s="29"/>
      <c r="K687" s="29"/>
      <c r="L687" s="29"/>
    </row>
    <row r="688" spans="1:12" ht="14.25" customHeight="1" x14ac:dyDescent="0.3">
      <c r="A688" s="40"/>
      <c r="B688" s="29"/>
      <c r="C688" s="29"/>
      <c r="D688" s="29"/>
      <c r="E688" s="29"/>
      <c r="F688" s="29"/>
      <c r="G688" s="29"/>
      <c r="H688" s="29"/>
      <c r="I688" s="29"/>
      <c r="J688" s="29"/>
      <c r="K688" s="29"/>
      <c r="L688" s="29"/>
    </row>
    <row r="689" spans="1:12" ht="14.25" customHeight="1" x14ac:dyDescent="0.3">
      <c r="A689" s="40"/>
      <c r="B689" s="29"/>
      <c r="C689" s="29"/>
      <c r="D689" s="29"/>
      <c r="E689" s="29"/>
      <c r="F689" s="29"/>
      <c r="G689" s="29"/>
      <c r="H689" s="29"/>
      <c r="I689" s="29"/>
      <c r="J689" s="29"/>
      <c r="K689" s="29"/>
      <c r="L689" s="29"/>
    </row>
    <row r="690" spans="1:12" ht="14.25" customHeight="1" x14ac:dyDescent="0.3">
      <c r="A690" s="40"/>
      <c r="B690" s="29"/>
      <c r="C690" s="29"/>
      <c r="D690" s="29"/>
      <c r="E690" s="29"/>
      <c r="F690" s="29"/>
      <c r="G690" s="29"/>
      <c r="H690" s="29"/>
      <c r="I690" s="29"/>
      <c r="J690" s="29"/>
      <c r="K690" s="29"/>
      <c r="L690" s="29"/>
    </row>
    <row r="691" spans="1:12" ht="14.25" customHeight="1" x14ac:dyDescent="0.3">
      <c r="A691" s="40"/>
      <c r="B691" s="29"/>
      <c r="C691" s="29"/>
      <c r="D691" s="29"/>
      <c r="E691" s="29"/>
      <c r="F691" s="29"/>
      <c r="G691" s="29"/>
      <c r="H691" s="29"/>
      <c r="I691" s="29"/>
      <c r="J691" s="29"/>
      <c r="K691" s="29"/>
      <c r="L691" s="29"/>
    </row>
    <row r="692" spans="1:12" ht="14.25" customHeight="1" x14ac:dyDescent="0.3">
      <c r="A692" s="40"/>
      <c r="B692" s="29"/>
      <c r="C692" s="29"/>
      <c r="D692" s="29"/>
      <c r="E692" s="29"/>
      <c r="F692" s="29"/>
      <c r="G692" s="29"/>
      <c r="H692" s="29"/>
      <c r="I692" s="29"/>
      <c r="J692" s="29"/>
      <c r="K692" s="29"/>
      <c r="L692" s="29"/>
    </row>
    <row r="693" spans="1:12" ht="14.25" customHeight="1" x14ac:dyDescent="0.3">
      <c r="A693" s="40"/>
      <c r="B693" s="29"/>
      <c r="C693" s="29"/>
      <c r="D693" s="29"/>
      <c r="E693" s="29"/>
      <c r="F693" s="29"/>
      <c r="G693" s="29"/>
      <c r="H693" s="29"/>
      <c r="I693" s="29"/>
      <c r="J693" s="29"/>
      <c r="K693" s="29"/>
      <c r="L693" s="29"/>
    </row>
    <row r="694" spans="1:12" ht="14.25" customHeight="1" x14ac:dyDescent="0.3">
      <c r="A694" s="40"/>
      <c r="B694" s="29"/>
      <c r="C694" s="29"/>
      <c r="D694" s="29"/>
      <c r="E694" s="29"/>
      <c r="F694" s="29"/>
      <c r="G694" s="29"/>
      <c r="H694" s="29"/>
      <c r="I694" s="29"/>
      <c r="J694" s="29"/>
      <c r="K694" s="29"/>
      <c r="L694" s="29"/>
    </row>
    <row r="695" spans="1:12" ht="14.25" customHeight="1" x14ac:dyDescent="0.3">
      <c r="A695" s="40"/>
      <c r="B695" s="29"/>
      <c r="C695" s="29"/>
      <c r="D695" s="29"/>
      <c r="E695" s="29"/>
      <c r="F695" s="29"/>
      <c r="G695" s="29"/>
      <c r="H695" s="29"/>
      <c r="I695" s="29"/>
      <c r="J695" s="29"/>
      <c r="K695" s="29"/>
      <c r="L695" s="29"/>
    </row>
    <row r="696" spans="1:12" ht="14.25" customHeight="1" x14ac:dyDescent="0.3">
      <c r="A696" s="40"/>
      <c r="B696" s="29"/>
      <c r="C696" s="29"/>
      <c r="D696" s="29"/>
      <c r="E696" s="29"/>
      <c r="F696" s="29"/>
      <c r="G696" s="29"/>
      <c r="H696" s="29"/>
      <c r="I696" s="29"/>
      <c r="J696" s="29"/>
      <c r="K696" s="29"/>
      <c r="L696" s="29"/>
    </row>
    <row r="697" spans="1:12" ht="14.25" customHeight="1" x14ac:dyDescent="0.3">
      <c r="A697" s="40"/>
      <c r="B697" s="29"/>
      <c r="C697" s="29"/>
      <c r="D697" s="29"/>
      <c r="E697" s="29"/>
      <c r="F697" s="29"/>
      <c r="G697" s="29"/>
      <c r="H697" s="29"/>
      <c r="I697" s="29"/>
      <c r="J697" s="29"/>
      <c r="K697" s="29"/>
      <c r="L697" s="29"/>
    </row>
    <row r="698" spans="1:12" ht="14.25" customHeight="1" x14ac:dyDescent="0.3">
      <c r="A698" s="40"/>
      <c r="B698" s="29"/>
      <c r="C698" s="29"/>
      <c r="D698" s="29"/>
      <c r="E698" s="29"/>
      <c r="F698" s="29"/>
      <c r="G698" s="29"/>
      <c r="H698" s="29"/>
      <c r="I698" s="29"/>
      <c r="J698" s="29"/>
      <c r="K698" s="29"/>
      <c r="L698" s="29"/>
    </row>
    <row r="699" spans="1:12" ht="14.25" customHeight="1" x14ac:dyDescent="0.3">
      <c r="A699" s="40"/>
      <c r="B699" s="29"/>
      <c r="C699" s="29"/>
      <c r="D699" s="29"/>
      <c r="E699" s="29"/>
      <c r="F699" s="29"/>
      <c r="G699" s="29"/>
      <c r="H699" s="29"/>
      <c r="I699" s="29"/>
      <c r="J699" s="29"/>
      <c r="K699" s="29"/>
      <c r="L699" s="29"/>
    </row>
    <row r="700" spans="1:12" ht="14.25" customHeight="1" x14ac:dyDescent="0.3">
      <c r="A700" s="40"/>
      <c r="B700" s="29"/>
      <c r="C700" s="29"/>
      <c r="D700" s="29"/>
      <c r="E700" s="29"/>
      <c r="F700" s="29"/>
      <c r="G700" s="29"/>
      <c r="H700" s="29"/>
      <c r="I700" s="29"/>
      <c r="J700" s="29"/>
      <c r="K700" s="29"/>
      <c r="L700" s="29"/>
    </row>
    <row r="701" spans="1:12" ht="14.25" customHeight="1" x14ac:dyDescent="0.3">
      <c r="A701" s="40"/>
      <c r="B701" s="29"/>
      <c r="C701" s="29"/>
      <c r="D701" s="29"/>
      <c r="E701" s="29"/>
      <c r="F701" s="29"/>
      <c r="G701" s="29"/>
      <c r="H701" s="29"/>
      <c r="I701" s="29"/>
      <c r="J701" s="29"/>
      <c r="K701" s="29"/>
      <c r="L701" s="29"/>
    </row>
    <row r="702" spans="1:12" ht="14.25" customHeight="1" x14ac:dyDescent="0.3">
      <c r="A702" s="40"/>
      <c r="B702" s="29"/>
      <c r="C702" s="29"/>
      <c r="D702" s="29"/>
      <c r="E702" s="29"/>
      <c r="F702" s="29"/>
      <c r="G702" s="29"/>
      <c r="H702" s="29"/>
      <c r="I702" s="29"/>
      <c r="J702" s="29"/>
      <c r="K702" s="29"/>
      <c r="L702" s="29"/>
    </row>
    <row r="703" spans="1:12" ht="14.25" customHeight="1" x14ac:dyDescent="0.3">
      <c r="A703" s="40"/>
      <c r="B703" s="29"/>
      <c r="C703" s="29"/>
      <c r="D703" s="29"/>
      <c r="E703" s="29"/>
      <c r="F703" s="29"/>
      <c r="G703" s="29"/>
      <c r="H703" s="29"/>
      <c r="I703" s="29"/>
      <c r="J703" s="29"/>
      <c r="K703" s="29"/>
      <c r="L703" s="29"/>
    </row>
    <row r="704" spans="1:12" ht="14.25" customHeight="1" x14ac:dyDescent="0.3">
      <c r="A704" s="40"/>
      <c r="B704" s="29"/>
      <c r="C704" s="29"/>
      <c r="D704" s="29"/>
      <c r="E704" s="29"/>
      <c r="F704" s="29"/>
      <c r="G704" s="29"/>
      <c r="H704" s="29"/>
      <c r="I704" s="29"/>
      <c r="J704" s="29"/>
      <c r="K704" s="29"/>
      <c r="L704" s="29"/>
    </row>
    <row r="705" spans="1:12" ht="14.25" customHeight="1" x14ac:dyDescent="0.3">
      <c r="A705" s="40"/>
      <c r="B705" s="29"/>
      <c r="C705" s="29"/>
      <c r="D705" s="29"/>
      <c r="E705" s="29"/>
      <c r="F705" s="29"/>
      <c r="G705" s="29"/>
      <c r="H705" s="29"/>
      <c r="I705" s="29"/>
      <c r="J705" s="29"/>
      <c r="K705" s="29"/>
      <c r="L705" s="29"/>
    </row>
    <row r="706" spans="1:12" ht="14.25" customHeight="1" x14ac:dyDescent="0.3">
      <c r="A706" s="40"/>
      <c r="B706" s="29"/>
      <c r="C706" s="29"/>
      <c r="D706" s="29"/>
      <c r="E706" s="29"/>
      <c r="F706" s="29"/>
      <c r="G706" s="29"/>
      <c r="H706" s="29"/>
      <c r="I706" s="29"/>
      <c r="J706" s="29"/>
      <c r="K706" s="29"/>
      <c r="L706" s="29"/>
    </row>
    <row r="707" spans="1:12" ht="14.25" customHeight="1" x14ac:dyDescent="0.3">
      <c r="A707" s="40"/>
      <c r="B707" s="29"/>
      <c r="C707" s="29"/>
      <c r="D707" s="29"/>
      <c r="E707" s="29"/>
      <c r="F707" s="29"/>
      <c r="G707" s="29"/>
      <c r="H707" s="29"/>
      <c r="I707" s="29"/>
      <c r="J707" s="29"/>
      <c r="K707" s="29"/>
      <c r="L707" s="29"/>
    </row>
    <row r="708" spans="1:12" ht="14.25" customHeight="1" x14ac:dyDescent="0.3">
      <c r="A708" s="40"/>
      <c r="B708" s="29"/>
      <c r="C708" s="29"/>
      <c r="D708" s="29"/>
      <c r="E708" s="29"/>
      <c r="F708" s="29"/>
      <c r="G708" s="29"/>
      <c r="H708" s="29"/>
      <c r="I708" s="29"/>
      <c r="J708" s="29"/>
      <c r="K708" s="29"/>
      <c r="L708" s="29"/>
    </row>
    <row r="709" spans="1:12" ht="14.25" customHeight="1" x14ac:dyDescent="0.3">
      <c r="A709" s="40"/>
      <c r="B709" s="29"/>
      <c r="C709" s="29"/>
      <c r="D709" s="29"/>
      <c r="E709" s="29"/>
      <c r="F709" s="29"/>
      <c r="G709" s="29"/>
      <c r="H709" s="29"/>
      <c r="I709" s="29"/>
      <c r="J709" s="29"/>
      <c r="K709" s="29"/>
      <c r="L709" s="29"/>
    </row>
    <row r="710" spans="1:12" ht="14.25" customHeight="1" x14ac:dyDescent="0.3">
      <c r="A710" s="40"/>
      <c r="B710" s="29"/>
      <c r="C710" s="29"/>
      <c r="D710" s="29"/>
      <c r="E710" s="29"/>
      <c r="F710" s="29"/>
      <c r="G710" s="29"/>
      <c r="H710" s="29"/>
      <c r="I710" s="29"/>
      <c r="J710" s="29"/>
      <c r="K710" s="29"/>
      <c r="L710" s="29"/>
    </row>
    <row r="711" spans="1:12" ht="14.25" customHeight="1" x14ac:dyDescent="0.3">
      <c r="A711" s="40"/>
      <c r="B711" s="29"/>
      <c r="C711" s="29"/>
      <c r="D711" s="29"/>
      <c r="E711" s="29"/>
      <c r="F711" s="29"/>
      <c r="G711" s="29"/>
      <c r="H711" s="29"/>
      <c r="I711" s="29"/>
      <c r="J711" s="29"/>
      <c r="K711" s="29"/>
      <c r="L711" s="29"/>
    </row>
    <row r="712" spans="1:12" ht="14.25" customHeight="1" x14ac:dyDescent="0.3">
      <c r="A712" s="40"/>
      <c r="B712" s="29"/>
      <c r="C712" s="29"/>
      <c r="D712" s="29"/>
      <c r="E712" s="29"/>
      <c r="F712" s="29"/>
      <c r="G712" s="29"/>
      <c r="H712" s="29"/>
      <c r="I712" s="29"/>
      <c r="J712" s="29"/>
      <c r="K712" s="29"/>
      <c r="L712" s="29"/>
    </row>
    <row r="713" spans="1:12" ht="14.25" customHeight="1" x14ac:dyDescent="0.3">
      <c r="A713" s="40"/>
      <c r="B713" s="29"/>
      <c r="C713" s="29"/>
      <c r="D713" s="29"/>
      <c r="E713" s="29"/>
      <c r="F713" s="29"/>
      <c r="G713" s="29"/>
      <c r="H713" s="29"/>
      <c r="I713" s="29"/>
      <c r="J713" s="29"/>
      <c r="K713" s="29"/>
      <c r="L713" s="29"/>
    </row>
    <row r="714" spans="1:12" ht="14.25" customHeight="1" x14ac:dyDescent="0.3">
      <c r="A714" s="40"/>
      <c r="B714" s="29"/>
      <c r="C714" s="29"/>
      <c r="D714" s="29"/>
      <c r="E714" s="29"/>
      <c r="F714" s="29"/>
      <c r="G714" s="29"/>
      <c r="H714" s="29"/>
      <c r="I714" s="29"/>
      <c r="J714" s="29"/>
      <c r="K714" s="29"/>
      <c r="L714" s="29"/>
    </row>
    <row r="715" spans="1:12" ht="14.25" customHeight="1" x14ac:dyDescent="0.3">
      <c r="A715" s="40"/>
      <c r="B715" s="29"/>
      <c r="C715" s="29"/>
      <c r="D715" s="29"/>
      <c r="E715" s="29"/>
      <c r="F715" s="29"/>
      <c r="G715" s="29"/>
      <c r="H715" s="29"/>
      <c r="I715" s="29"/>
      <c r="J715" s="29"/>
      <c r="K715" s="29"/>
      <c r="L715" s="29"/>
    </row>
    <row r="716" spans="1:12" ht="14.25" customHeight="1" x14ac:dyDescent="0.3">
      <c r="A716" s="40"/>
      <c r="B716" s="29"/>
      <c r="C716" s="29"/>
      <c r="D716" s="29"/>
      <c r="E716" s="29"/>
      <c r="F716" s="29"/>
      <c r="G716" s="29"/>
      <c r="H716" s="29"/>
      <c r="I716" s="29"/>
      <c r="J716" s="29"/>
      <c r="K716" s="29"/>
      <c r="L716" s="29"/>
    </row>
    <row r="717" spans="1:12" ht="14.25" customHeight="1" x14ac:dyDescent="0.3">
      <c r="A717" s="40"/>
      <c r="B717" s="29"/>
      <c r="C717" s="29"/>
      <c r="D717" s="29"/>
      <c r="E717" s="29"/>
      <c r="F717" s="29"/>
      <c r="G717" s="29"/>
      <c r="H717" s="29"/>
      <c r="I717" s="29"/>
      <c r="J717" s="29"/>
      <c r="K717" s="29"/>
      <c r="L717" s="29"/>
    </row>
    <row r="718" spans="1:12" ht="14.25" customHeight="1" x14ac:dyDescent="0.3">
      <c r="A718" s="40"/>
      <c r="B718" s="29"/>
      <c r="C718" s="29"/>
      <c r="D718" s="29"/>
      <c r="E718" s="29"/>
      <c r="F718" s="29"/>
      <c r="G718" s="29"/>
      <c r="H718" s="29"/>
      <c r="I718" s="29"/>
      <c r="J718" s="29"/>
      <c r="K718" s="29"/>
      <c r="L718" s="29"/>
    </row>
    <row r="719" spans="1:12" ht="14.25" customHeight="1" x14ac:dyDescent="0.3">
      <c r="A719" s="40"/>
      <c r="B719" s="29"/>
      <c r="C719" s="29"/>
      <c r="D719" s="29"/>
      <c r="E719" s="29"/>
      <c r="F719" s="29"/>
      <c r="G719" s="29"/>
      <c r="H719" s="29"/>
      <c r="I719" s="29"/>
      <c r="J719" s="29"/>
      <c r="K719" s="29"/>
      <c r="L719" s="29"/>
    </row>
    <row r="720" spans="1:12" ht="14.25" customHeight="1" x14ac:dyDescent="0.3">
      <c r="A720" s="40"/>
      <c r="B720" s="29"/>
      <c r="C720" s="29"/>
      <c r="D720" s="29"/>
      <c r="E720" s="29"/>
      <c r="F720" s="29"/>
      <c r="G720" s="29"/>
      <c r="H720" s="29"/>
      <c r="I720" s="29"/>
      <c r="J720" s="29"/>
      <c r="K720" s="29"/>
      <c r="L720" s="29"/>
    </row>
    <row r="721" spans="1:12" ht="14.25" customHeight="1" x14ac:dyDescent="0.3">
      <c r="A721" s="40"/>
      <c r="B721" s="29"/>
      <c r="C721" s="29"/>
      <c r="D721" s="29"/>
      <c r="E721" s="29"/>
      <c r="F721" s="29"/>
      <c r="G721" s="29"/>
      <c r="H721" s="29"/>
      <c r="I721" s="29"/>
      <c r="J721" s="29"/>
      <c r="K721" s="29"/>
      <c r="L721" s="29"/>
    </row>
    <row r="722" spans="1:12" ht="14.25" customHeight="1" x14ac:dyDescent="0.3">
      <c r="A722" s="40"/>
      <c r="B722" s="29"/>
      <c r="C722" s="29"/>
      <c r="D722" s="29"/>
      <c r="E722" s="29"/>
      <c r="F722" s="29"/>
      <c r="G722" s="29"/>
      <c r="H722" s="29"/>
      <c r="I722" s="29"/>
      <c r="J722" s="29"/>
      <c r="K722" s="29"/>
      <c r="L722" s="29"/>
    </row>
    <row r="723" spans="1:12" ht="14.25" customHeight="1" x14ac:dyDescent="0.3">
      <c r="A723" s="40"/>
      <c r="B723" s="29"/>
      <c r="C723" s="29"/>
      <c r="D723" s="29"/>
      <c r="E723" s="29"/>
      <c r="F723" s="29"/>
      <c r="G723" s="29"/>
      <c r="H723" s="29"/>
      <c r="I723" s="29"/>
      <c r="J723" s="29"/>
      <c r="K723" s="29"/>
      <c r="L723" s="29"/>
    </row>
    <row r="724" spans="1:12" ht="14.25" customHeight="1" x14ac:dyDescent="0.3">
      <c r="A724" s="40"/>
      <c r="B724" s="29"/>
      <c r="C724" s="29"/>
      <c r="D724" s="29"/>
      <c r="E724" s="29"/>
      <c r="F724" s="29"/>
      <c r="G724" s="29"/>
      <c r="H724" s="29"/>
      <c r="I724" s="29"/>
      <c r="J724" s="29"/>
      <c r="K724" s="29"/>
      <c r="L724" s="29"/>
    </row>
    <row r="725" spans="1:12" ht="14.25" customHeight="1" x14ac:dyDescent="0.3">
      <c r="A725" s="40"/>
      <c r="B725" s="29"/>
      <c r="C725" s="29"/>
      <c r="D725" s="29"/>
      <c r="E725" s="29"/>
      <c r="F725" s="29"/>
      <c r="G725" s="29"/>
      <c r="H725" s="29"/>
      <c r="I725" s="29"/>
      <c r="J725" s="29"/>
      <c r="K725" s="29"/>
      <c r="L725" s="29"/>
    </row>
    <row r="726" spans="1:12" ht="14.25" customHeight="1" x14ac:dyDescent="0.3">
      <c r="A726" s="40"/>
      <c r="B726" s="29"/>
      <c r="C726" s="29"/>
      <c r="D726" s="29"/>
      <c r="E726" s="29"/>
      <c r="F726" s="29"/>
      <c r="G726" s="29"/>
      <c r="H726" s="29"/>
      <c r="I726" s="29"/>
      <c r="J726" s="29"/>
      <c r="K726" s="29"/>
      <c r="L726" s="29"/>
    </row>
    <row r="727" spans="1:12" ht="14.25" customHeight="1" x14ac:dyDescent="0.3">
      <c r="A727" s="40"/>
      <c r="B727" s="29"/>
      <c r="C727" s="29"/>
      <c r="D727" s="29"/>
      <c r="E727" s="29"/>
      <c r="F727" s="29"/>
      <c r="G727" s="29"/>
      <c r="H727" s="29"/>
      <c r="I727" s="29"/>
      <c r="J727" s="29"/>
      <c r="K727" s="29"/>
      <c r="L727" s="29"/>
    </row>
    <row r="728" spans="1:12" ht="14.25" customHeight="1" x14ac:dyDescent="0.3">
      <c r="A728" s="40"/>
      <c r="B728" s="29"/>
      <c r="C728" s="29"/>
      <c r="D728" s="29"/>
      <c r="E728" s="29"/>
      <c r="F728" s="29"/>
      <c r="G728" s="29"/>
      <c r="H728" s="29"/>
      <c r="I728" s="29"/>
      <c r="J728" s="29"/>
      <c r="K728" s="29"/>
      <c r="L728" s="29"/>
    </row>
    <row r="729" spans="1:12" ht="14.25" customHeight="1" x14ac:dyDescent="0.3">
      <c r="A729" s="40"/>
      <c r="B729" s="29"/>
      <c r="C729" s="29"/>
      <c r="D729" s="29"/>
      <c r="E729" s="29"/>
      <c r="F729" s="29"/>
      <c r="G729" s="29"/>
      <c r="H729" s="29"/>
      <c r="I729" s="29"/>
      <c r="J729" s="29"/>
      <c r="K729" s="29"/>
      <c r="L729" s="29"/>
    </row>
    <row r="730" spans="1:12" ht="14.25" customHeight="1" x14ac:dyDescent="0.3">
      <c r="A730" s="40"/>
      <c r="B730" s="29"/>
      <c r="C730" s="29"/>
      <c r="D730" s="29"/>
      <c r="E730" s="29"/>
      <c r="F730" s="29"/>
      <c r="G730" s="29"/>
      <c r="H730" s="29"/>
      <c r="I730" s="29"/>
      <c r="J730" s="29"/>
      <c r="K730" s="29"/>
      <c r="L730" s="29"/>
    </row>
    <row r="731" spans="1:12" ht="14.25" customHeight="1" x14ac:dyDescent="0.3">
      <c r="A731" s="40"/>
      <c r="B731" s="29"/>
      <c r="C731" s="29"/>
      <c r="D731" s="29"/>
      <c r="E731" s="29"/>
      <c r="F731" s="29"/>
      <c r="G731" s="29"/>
      <c r="H731" s="29"/>
      <c r="I731" s="29"/>
      <c r="J731" s="29"/>
      <c r="K731" s="29"/>
      <c r="L731" s="29"/>
    </row>
    <row r="732" spans="1:12" ht="14.25" customHeight="1" x14ac:dyDescent="0.3">
      <c r="A732" s="40"/>
      <c r="B732" s="29"/>
      <c r="C732" s="29"/>
      <c r="D732" s="29"/>
      <c r="E732" s="29"/>
      <c r="F732" s="29"/>
      <c r="G732" s="29"/>
      <c r="H732" s="29"/>
      <c r="I732" s="29"/>
      <c r="J732" s="29"/>
      <c r="K732" s="29"/>
      <c r="L732" s="29"/>
    </row>
    <row r="733" spans="1:12" ht="14.25" customHeight="1" x14ac:dyDescent="0.3">
      <c r="A733" s="40"/>
      <c r="B733" s="29"/>
      <c r="C733" s="29"/>
      <c r="D733" s="29"/>
      <c r="E733" s="29"/>
      <c r="F733" s="29"/>
      <c r="G733" s="29"/>
      <c r="H733" s="29"/>
      <c r="I733" s="29"/>
      <c r="J733" s="29"/>
      <c r="K733" s="29"/>
      <c r="L733" s="29"/>
    </row>
    <row r="734" spans="1:12" ht="14.25" customHeight="1" x14ac:dyDescent="0.3">
      <c r="A734" s="40"/>
      <c r="B734" s="29"/>
      <c r="C734" s="29"/>
      <c r="D734" s="29"/>
      <c r="E734" s="29"/>
      <c r="F734" s="29"/>
      <c r="G734" s="29"/>
      <c r="H734" s="29"/>
      <c r="I734" s="29"/>
      <c r="J734" s="29"/>
      <c r="K734" s="29"/>
      <c r="L734" s="29"/>
    </row>
    <row r="735" spans="1:12" ht="14.25" customHeight="1" x14ac:dyDescent="0.3">
      <c r="A735" s="40"/>
      <c r="B735" s="29"/>
      <c r="C735" s="29"/>
      <c r="D735" s="29"/>
      <c r="E735" s="29"/>
      <c r="F735" s="29"/>
      <c r="G735" s="29"/>
      <c r="H735" s="29"/>
      <c r="I735" s="29"/>
      <c r="J735" s="29"/>
      <c r="K735" s="29"/>
      <c r="L735" s="29"/>
    </row>
    <row r="736" spans="1:12" ht="14.25" customHeight="1" x14ac:dyDescent="0.3">
      <c r="A736" s="40"/>
      <c r="B736" s="29"/>
      <c r="C736" s="29"/>
      <c r="D736" s="29"/>
      <c r="E736" s="29"/>
      <c r="F736" s="29"/>
      <c r="G736" s="29"/>
      <c r="H736" s="29"/>
      <c r="I736" s="29"/>
      <c r="J736" s="29"/>
      <c r="K736" s="29"/>
      <c r="L736" s="29"/>
    </row>
    <row r="737" spans="1:12" ht="14.25" customHeight="1" x14ac:dyDescent="0.3">
      <c r="A737" s="40"/>
      <c r="B737" s="29"/>
      <c r="C737" s="29"/>
      <c r="D737" s="29"/>
      <c r="E737" s="29"/>
      <c r="F737" s="29"/>
      <c r="G737" s="29"/>
      <c r="H737" s="29"/>
      <c r="I737" s="29"/>
      <c r="J737" s="29"/>
      <c r="K737" s="29"/>
      <c r="L737" s="29"/>
    </row>
    <row r="738" spans="1:12" ht="14.25" customHeight="1" x14ac:dyDescent="0.3">
      <c r="A738" s="40"/>
      <c r="B738" s="29"/>
      <c r="C738" s="29"/>
      <c r="D738" s="29"/>
      <c r="E738" s="29"/>
      <c r="F738" s="29"/>
      <c r="G738" s="29"/>
      <c r="H738" s="29"/>
      <c r="I738" s="29"/>
      <c r="J738" s="29"/>
      <c r="K738" s="29"/>
      <c r="L738" s="29"/>
    </row>
    <row r="739" spans="1:12" ht="14.25" customHeight="1" x14ac:dyDescent="0.3">
      <c r="A739" s="40"/>
      <c r="B739" s="29"/>
      <c r="C739" s="29"/>
      <c r="D739" s="29"/>
      <c r="E739" s="29"/>
      <c r="F739" s="29"/>
      <c r="G739" s="29"/>
      <c r="H739" s="29"/>
      <c r="I739" s="29"/>
      <c r="J739" s="29"/>
      <c r="K739" s="29"/>
      <c r="L739" s="29"/>
    </row>
    <row r="740" spans="1:12" ht="14.25" customHeight="1" x14ac:dyDescent="0.3">
      <c r="A740" s="40"/>
      <c r="B740" s="29"/>
      <c r="C740" s="29"/>
      <c r="D740" s="29"/>
      <c r="E740" s="29"/>
      <c r="F740" s="29"/>
      <c r="G740" s="29"/>
      <c r="H740" s="29"/>
      <c r="I740" s="29"/>
      <c r="J740" s="29"/>
      <c r="K740" s="29"/>
      <c r="L740" s="29"/>
    </row>
    <row r="741" spans="1:12" ht="14.25" customHeight="1" x14ac:dyDescent="0.3">
      <c r="A741" s="40"/>
      <c r="B741" s="29"/>
      <c r="C741" s="29"/>
      <c r="D741" s="29"/>
      <c r="E741" s="29"/>
      <c r="F741" s="29"/>
      <c r="G741" s="29"/>
      <c r="H741" s="29"/>
      <c r="I741" s="29"/>
      <c r="J741" s="29"/>
      <c r="K741" s="29"/>
      <c r="L741" s="29"/>
    </row>
    <row r="742" spans="1:12" ht="14.25" customHeight="1" x14ac:dyDescent="0.3">
      <c r="A742" s="40"/>
      <c r="B742" s="29"/>
      <c r="C742" s="29"/>
      <c r="D742" s="29"/>
      <c r="E742" s="29"/>
      <c r="F742" s="29"/>
      <c r="G742" s="29"/>
      <c r="H742" s="29"/>
      <c r="I742" s="29"/>
      <c r="J742" s="29"/>
      <c r="K742" s="29"/>
      <c r="L742" s="29"/>
    </row>
    <row r="743" spans="1:12" ht="14.25" customHeight="1" x14ac:dyDescent="0.3">
      <c r="A743" s="40"/>
      <c r="B743" s="29"/>
      <c r="C743" s="29"/>
      <c r="D743" s="29"/>
      <c r="E743" s="29"/>
      <c r="F743" s="29"/>
      <c r="G743" s="29"/>
      <c r="H743" s="29"/>
      <c r="I743" s="29"/>
      <c r="J743" s="29"/>
      <c r="K743" s="29"/>
      <c r="L743" s="29"/>
    </row>
    <row r="744" spans="1:12" ht="14.25" customHeight="1" x14ac:dyDescent="0.3">
      <c r="A744" s="40"/>
      <c r="B744" s="29"/>
      <c r="C744" s="29"/>
      <c r="D744" s="29"/>
      <c r="E744" s="29"/>
      <c r="F744" s="29"/>
      <c r="G744" s="29"/>
      <c r="H744" s="29"/>
      <c r="I744" s="29"/>
      <c r="J744" s="29"/>
      <c r="K744" s="29"/>
      <c r="L744" s="29"/>
    </row>
    <row r="745" spans="1:12" ht="14.25" customHeight="1" x14ac:dyDescent="0.3">
      <c r="A745" s="40"/>
      <c r="B745" s="29"/>
      <c r="C745" s="29"/>
      <c r="D745" s="29"/>
      <c r="E745" s="29"/>
      <c r="F745" s="29"/>
      <c r="G745" s="29"/>
      <c r="H745" s="29"/>
      <c r="I745" s="29"/>
      <c r="J745" s="29"/>
      <c r="K745" s="29"/>
      <c r="L745" s="29"/>
    </row>
    <row r="746" spans="1:12" ht="14.25" customHeight="1" x14ac:dyDescent="0.3">
      <c r="A746" s="40"/>
      <c r="B746" s="29"/>
      <c r="C746" s="29"/>
      <c r="D746" s="29"/>
      <c r="E746" s="29"/>
      <c r="F746" s="29"/>
      <c r="G746" s="29"/>
      <c r="H746" s="29"/>
      <c r="I746" s="29"/>
      <c r="J746" s="29"/>
      <c r="K746" s="29"/>
      <c r="L746" s="29"/>
    </row>
    <row r="747" spans="1:12" ht="14.25" customHeight="1" x14ac:dyDescent="0.3">
      <c r="A747" s="40"/>
      <c r="B747" s="29"/>
      <c r="C747" s="29"/>
      <c r="D747" s="29"/>
      <c r="E747" s="29"/>
      <c r="F747" s="29"/>
      <c r="G747" s="29"/>
      <c r="H747" s="29"/>
      <c r="I747" s="29"/>
      <c r="J747" s="29"/>
      <c r="K747" s="29"/>
      <c r="L747" s="29"/>
    </row>
    <row r="748" spans="1:12" ht="14.25" customHeight="1" x14ac:dyDescent="0.3">
      <c r="A748" s="40"/>
      <c r="B748" s="29"/>
      <c r="C748" s="29"/>
      <c r="D748" s="29"/>
      <c r="E748" s="29"/>
      <c r="F748" s="29"/>
      <c r="G748" s="29"/>
      <c r="H748" s="29"/>
      <c r="I748" s="29"/>
      <c r="J748" s="29"/>
      <c r="K748" s="29"/>
      <c r="L748" s="29"/>
    </row>
    <row r="749" spans="1:12" ht="14.25" customHeight="1" x14ac:dyDescent="0.3">
      <c r="A749" s="40"/>
      <c r="B749" s="29"/>
      <c r="C749" s="29"/>
      <c r="D749" s="29"/>
      <c r="E749" s="29"/>
      <c r="F749" s="29"/>
      <c r="G749" s="29"/>
      <c r="H749" s="29"/>
      <c r="I749" s="29"/>
      <c r="J749" s="29"/>
      <c r="K749" s="29"/>
      <c r="L749" s="29"/>
    </row>
    <row r="750" spans="1:12" ht="14.25" customHeight="1" x14ac:dyDescent="0.3">
      <c r="A750" s="40"/>
      <c r="B750" s="29"/>
      <c r="C750" s="29"/>
      <c r="D750" s="29"/>
      <c r="E750" s="29"/>
      <c r="F750" s="29"/>
      <c r="G750" s="29"/>
      <c r="H750" s="29"/>
      <c r="I750" s="29"/>
      <c r="J750" s="29"/>
      <c r="K750" s="29"/>
      <c r="L750" s="29"/>
    </row>
    <row r="751" spans="1:12" ht="14.25" customHeight="1" x14ac:dyDescent="0.3">
      <c r="A751" s="40"/>
      <c r="B751" s="29"/>
      <c r="C751" s="29"/>
      <c r="D751" s="29"/>
      <c r="E751" s="29"/>
      <c r="F751" s="29"/>
      <c r="G751" s="29"/>
      <c r="H751" s="29"/>
      <c r="I751" s="29"/>
      <c r="J751" s="29"/>
      <c r="K751" s="29"/>
      <c r="L751" s="29"/>
    </row>
    <row r="752" spans="1:12" ht="14.25" customHeight="1" x14ac:dyDescent="0.3">
      <c r="A752" s="40"/>
      <c r="B752" s="29"/>
      <c r="C752" s="29"/>
      <c r="D752" s="29"/>
      <c r="E752" s="29"/>
      <c r="F752" s="29"/>
      <c r="G752" s="29"/>
      <c r="H752" s="29"/>
      <c r="I752" s="29"/>
      <c r="J752" s="29"/>
      <c r="K752" s="29"/>
      <c r="L752" s="29"/>
    </row>
    <row r="753" spans="1:12" ht="14.25" customHeight="1" x14ac:dyDescent="0.3">
      <c r="A753" s="40"/>
      <c r="B753" s="29"/>
      <c r="C753" s="29"/>
      <c r="D753" s="29"/>
      <c r="E753" s="29"/>
      <c r="F753" s="29"/>
      <c r="G753" s="29"/>
      <c r="H753" s="29"/>
      <c r="I753" s="29"/>
      <c r="J753" s="29"/>
      <c r="K753" s="29"/>
      <c r="L753" s="29"/>
    </row>
    <row r="754" spans="1:12" ht="14.25" customHeight="1" x14ac:dyDescent="0.3">
      <c r="A754" s="40"/>
      <c r="B754" s="29"/>
      <c r="C754" s="29"/>
      <c r="D754" s="29"/>
      <c r="E754" s="29"/>
      <c r="F754" s="29"/>
      <c r="G754" s="29"/>
      <c r="H754" s="29"/>
      <c r="I754" s="29"/>
      <c r="J754" s="29"/>
      <c r="K754" s="29"/>
      <c r="L754" s="29"/>
    </row>
    <row r="755" spans="1:12" ht="14.25" customHeight="1" x14ac:dyDescent="0.3">
      <c r="A755" s="40"/>
      <c r="B755" s="29"/>
      <c r="C755" s="29"/>
      <c r="D755" s="29"/>
      <c r="E755" s="29"/>
      <c r="F755" s="29"/>
      <c r="G755" s="29"/>
      <c r="H755" s="29"/>
      <c r="I755" s="29"/>
      <c r="J755" s="29"/>
      <c r="K755" s="29"/>
      <c r="L755" s="29"/>
    </row>
    <row r="756" spans="1:12" ht="14.25" customHeight="1" x14ac:dyDescent="0.3">
      <c r="A756" s="40"/>
      <c r="B756" s="29"/>
      <c r="C756" s="29"/>
      <c r="D756" s="29"/>
      <c r="E756" s="29"/>
      <c r="F756" s="29"/>
      <c r="G756" s="29"/>
      <c r="H756" s="29"/>
      <c r="I756" s="29"/>
      <c r="J756" s="29"/>
      <c r="K756" s="29"/>
      <c r="L756" s="29"/>
    </row>
    <row r="757" spans="1:12" ht="14.25" customHeight="1" x14ac:dyDescent="0.3">
      <c r="A757" s="40"/>
      <c r="B757" s="29"/>
      <c r="C757" s="29"/>
      <c r="D757" s="29"/>
      <c r="E757" s="29"/>
      <c r="F757" s="29"/>
      <c r="G757" s="29"/>
      <c r="H757" s="29"/>
      <c r="I757" s="29"/>
      <c r="J757" s="29"/>
      <c r="K757" s="29"/>
      <c r="L757" s="29"/>
    </row>
    <row r="758" spans="1:12" ht="14.25" customHeight="1" x14ac:dyDescent="0.3">
      <c r="A758" s="40"/>
      <c r="B758" s="29"/>
      <c r="C758" s="29"/>
      <c r="D758" s="29"/>
      <c r="E758" s="29"/>
      <c r="F758" s="29"/>
      <c r="G758" s="29"/>
      <c r="H758" s="29"/>
      <c r="I758" s="29"/>
      <c r="J758" s="29"/>
      <c r="K758" s="29"/>
      <c r="L758" s="29"/>
    </row>
    <row r="759" spans="1:12" ht="14.25" customHeight="1" x14ac:dyDescent="0.3">
      <c r="A759" s="40"/>
      <c r="B759" s="29"/>
      <c r="C759" s="29"/>
      <c r="D759" s="29"/>
      <c r="E759" s="29"/>
      <c r="F759" s="29"/>
      <c r="G759" s="29"/>
      <c r="H759" s="29"/>
      <c r="I759" s="29"/>
      <c r="J759" s="29"/>
      <c r="K759" s="29"/>
      <c r="L759" s="29"/>
    </row>
    <row r="760" spans="1:12" ht="14.25" customHeight="1" x14ac:dyDescent="0.3">
      <c r="A760" s="40"/>
      <c r="B760" s="29"/>
      <c r="C760" s="29"/>
      <c r="D760" s="29"/>
      <c r="E760" s="29"/>
      <c r="F760" s="29"/>
      <c r="G760" s="29"/>
      <c r="H760" s="29"/>
      <c r="I760" s="29"/>
      <c r="J760" s="29"/>
      <c r="K760" s="29"/>
      <c r="L760" s="29"/>
    </row>
    <row r="761" spans="1:12" ht="14.25" customHeight="1" x14ac:dyDescent="0.3">
      <c r="A761" s="40"/>
      <c r="B761" s="29"/>
      <c r="C761" s="29"/>
      <c r="D761" s="29"/>
      <c r="E761" s="29"/>
      <c r="F761" s="29"/>
      <c r="G761" s="29"/>
      <c r="H761" s="29"/>
      <c r="I761" s="29"/>
      <c r="J761" s="29"/>
      <c r="K761" s="29"/>
      <c r="L761" s="29"/>
    </row>
    <row r="762" spans="1:12" ht="14.25" customHeight="1" x14ac:dyDescent="0.3">
      <c r="A762" s="40"/>
      <c r="B762" s="29"/>
      <c r="C762" s="29"/>
      <c r="D762" s="29"/>
      <c r="E762" s="29"/>
      <c r="F762" s="29"/>
      <c r="G762" s="29"/>
      <c r="H762" s="29"/>
      <c r="I762" s="29"/>
      <c r="J762" s="29"/>
      <c r="K762" s="29"/>
      <c r="L762" s="29"/>
    </row>
    <row r="763" spans="1:12" ht="14.25" customHeight="1" x14ac:dyDescent="0.3">
      <c r="A763" s="40"/>
      <c r="B763" s="29"/>
      <c r="C763" s="29"/>
      <c r="D763" s="29"/>
      <c r="E763" s="29"/>
      <c r="F763" s="29"/>
      <c r="G763" s="29"/>
      <c r="H763" s="29"/>
      <c r="I763" s="29"/>
      <c r="J763" s="29"/>
      <c r="K763" s="29"/>
      <c r="L763" s="29"/>
    </row>
    <row r="764" spans="1:12" ht="14.25" customHeight="1" x14ac:dyDescent="0.3">
      <c r="A764" s="40"/>
      <c r="B764" s="29"/>
      <c r="C764" s="29"/>
      <c r="D764" s="29"/>
      <c r="E764" s="29"/>
      <c r="F764" s="29"/>
      <c r="G764" s="29"/>
      <c r="H764" s="29"/>
      <c r="I764" s="29"/>
      <c r="J764" s="29"/>
      <c r="K764" s="29"/>
      <c r="L764" s="29"/>
    </row>
    <row r="765" spans="1:12" ht="14.25" customHeight="1" x14ac:dyDescent="0.3">
      <c r="A765" s="40"/>
      <c r="B765" s="29"/>
      <c r="C765" s="29"/>
      <c r="D765" s="29"/>
      <c r="E765" s="29"/>
      <c r="F765" s="29"/>
      <c r="G765" s="29"/>
      <c r="H765" s="29"/>
      <c r="I765" s="29"/>
      <c r="J765" s="29"/>
      <c r="K765" s="29"/>
      <c r="L765" s="29"/>
    </row>
    <row r="766" spans="1:12" ht="14.25" customHeight="1" x14ac:dyDescent="0.3">
      <c r="A766" s="40"/>
      <c r="B766" s="29"/>
      <c r="C766" s="29"/>
      <c r="D766" s="29"/>
      <c r="E766" s="29"/>
      <c r="F766" s="29"/>
      <c r="G766" s="29"/>
      <c r="H766" s="29"/>
      <c r="I766" s="29"/>
      <c r="J766" s="29"/>
      <c r="K766" s="29"/>
      <c r="L766" s="29"/>
    </row>
    <row r="767" spans="1:12" ht="14.25" customHeight="1" x14ac:dyDescent="0.3">
      <c r="A767" s="40"/>
      <c r="B767" s="29"/>
      <c r="C767" s="29"/>
      <c r="D767" s="29"/>
      <c r="E767" s="29"/>
      <c r="F767" s="29"/>
      <c r="G767" s="29"/>
      <c r="H767" s="29"/>
      <c r="I767" s="29"/>
      <c r="J767" s="29"/>
      <c r="K767" s="29"/>
      <c r="L767" s="29"/>
    </row>
    <row r="768" spans="1:12" ht="14.25" customHeight="1" x14ac:dyDescent="0.3">
      <c r="A768" s="40"/>
      <c r="B768" s="29"/>
      <c r="C768" s="29"/>
      <c r="D768" s="29"/>
      <c r="E768" s="29"/>
      <c r="F768" s="29"/>
      <c r="G768" s="29"/>
      <c r="H768" s="29"/>
      <c r="I768" s="29"/>
      <c r="J768" s="29"/>
      <c r="K768" s="29"/>
      <c r="L768" s="29"/>
    </row>
    <row r="769" spans="1:12" ht="14.25" customHeight="1" x14ac:dyDescent="0.3">
      <c r="A769" s="40"/>
      <c r="B769" s="29"/>
      <c r="C769" s="29"/>
      <c r="D769" s="29"/>
      <c r="E769" s="29"/>
      <c r="F769" s="29"/>
      <c r="G769" s="29"/>
      <c r="H769" s="29"/>
      <c r="I769" s="29"/>
      <c r="J769" s="29"/>
      <c r="K769" s="29"/>
      <c r="L769" s="29"/>
    </row>
    <row r="770" spans="1:12" ht="14.25" customHeight="1" x14ac:dyDescent="0.3">
      <c r="A770" s="40"/>
      <c r="B770" s="29"/>
      <c r="C770" s="29"/>
      <c r="D770" s="29"/>
      <c r="E770" s="29"/>
      <c r="F770" s="29"/>
      <c r="G770" s="29"/>
      <c r="H770" s="29"/>
      <c r="I770" s="29"/>
      <c r="J770" s="29"/>
      <c r="K770" s="29"/>
      <c r="L770" s="29"/>
    </row>
    <row r="771" spans="1:12" ht="14.25" customHeight="1" x14ac:dyDescent="0.3">
      <c r="A771" s="40"/>
      <c r="B771" s="29"/>
      <c r="C771" s="29"/>
      <c r="D771" s="29"/>
      <c r="E771" s="29"/>
      <c r="F771" s="29"/>
      <c r="G771" s="29"/>
      <c r="H771" s="29"/>
      <c r="I771" s="29"/>
      <c r="J771" s="29"/>
      <c r="K771" s="29"/>
      <c r="L771" s="29"/>
    </row>
    <row r="772" spans="1:12" ht="14.25" customHeight="1" x14ac:dyDescent="0.3">
      <c r="A772" s="40"/>
      <c r="B772" s="29"/>
      <c r="C772" s="29"/>
      <c r="D772" s="29"/>
      <c r="E772" s="29"/>
      <c r="F772" s="29"/>
      <c r="G772" s="29"/>
      <c r="H772" s="29"/>
      <c r="I772" s="29"/>
      <c r="J772" s="29"/>
      <c r="K772" s="29"/>
      <c r="L772" s="29"/>
    </row>
    <row r="773" spans="1:12" ht="14.25" customHeight="1" x14ac:dyDescent="0.3">
      <c r="A773" s="40"/>
      <c r="B773" s="29"/>
      <c r="C773" s="29"/>
      <c r="D773" s="29"/>
      <c r="E773" s="29"/>
      <c r="F773" s="29"/>
      <c r="G773" s="29"/>
      <c r="H773" s="29"/>
      <c r="I773" s="29"/>
      <c r="J773" s="29"/>
      <c r="K773" s="29"/>
      <c r="L773" s="29"/>
    </row>
    <row r="774" spans="1:12" ht="14.25" customHeight="1" x14ac:dyDescent="0.3">
      <c r="A774" s="40"/>
      <c r="B774" s="29"/>
      <c r="C774" s="29"/>
      <c r="D774" s="29"/>
      <c r="E774" s="29"/>
      <c r="F774" s="29"/>
      <c r="G774" s="29"/>
      <c r="H774" s="29"/>
      <c r="I774" s="29"/>
      <c r="J774" s="29"/>
      <c r="K774" s="29"/>
      <c r="L774" s="29"/>
    </row>
    <row r="775" spans="1:12" ht="14.25" customHeight="1" x14ac:dyDescent="0.3">
      <c r="A775" s="40"/>
      <c r="B775" s="29"/>
      <c r="C775" s="29"/>
      <c r="D775" s="29"/>
      <c r="E775" s="29"/>
      <c r="F775" s="29"/>
      <c r="G775" s="29"/>
      <c r="H775" s="29"/>
      <c r="I775" s="29"/>
      <c r="J775" s="29"/>
      <c r="K775" s="29"/>
      <c r="L775" s="29"/>
    </row>
    <row r="776" spans="1:12" ht="14.25" customHeight="1" x14ac:dyDescent="0.3">
      <c r="A776" s="40"/>
      <c r="B776" s="29"/>
      <c r="C776" s="29"/>
      <c r="D776" s="29"/>
      <c r="E776" s="29"/>
      <c r="F776" s="29"/>
      <c r="G776" s="29"/>
      <c r="H776" s="29"/>
      <c r="I776" s="29"/>
      <c r="J776" s="29"/>
      <c r="K776" s="29"/>
      <c r="L776" s="29"/>
    </row>
    <row r="777" spans="1:12" ht="14.25" customHeight="1" x14ac:dyDescent="0.3">
      <c r="A777" s="40"/>
      <c r="B777" s="29"/>
      <c r="C777" s="29"/>
      <c r="D777" s="29"/>
      <c r="E777" s="29"/>
      <c r="F777" s="29"/>
      <c r="G777" s="29"/>
      <c r="H777" s="29"/>
      <c r="I777" s="29"/>
      <c r="J777" s="29"/>
      <c r="K777" s="29"/>
      <c r="L777" s="29"/>
    </row>
    <row r="778" spans="1:12" ht="14.25" customHeight="1" x14ac:dyDescent="0.3">
      <c r="A778" s="40"/>
      <c r="B778" s="29"/>
      <c r="C778" s="29"/>
      <c r="D778" s="29"/>
      <c r="E778" s="29"/>
      <c r="F778" s="29"/>
      <c r="G778" s="29"/>
      <c r="H778" s="29"/>
      <c r="I778" s="29"/>
      <c r="J778" s="29"/>
      <c r="K778" s="29"/>
      <c r="L778" s="29"/>
    </row>
    <row r="779" spans="1:12" ht="14.25" customHeight="1" x14ac:dyDescent="0.3">
      <c r="A779" s="40"/>
      <c r="B779" s="29"/>
      <c r="C779" s="29"/>
      <c r="D779" s="29"/>
      <c r="E779" s="29"/>
      <c r="F779" s="29"/>
      <c r="G779" s="29"/>
      <c r="H779" s="29"/>
      <c r="I779" s="29"/>
      <c r="J779" s="29"/>
      <c r="K779" s="29"/>
      <c r="L779" s="29"/>
    </row>
    <row r="780" spans="1:12" ht="14.25" customHeight="1" x14ac:dyDescent="0.3">
      <c r="A780" s="40"/>
      <c r="B780" s="29"/>
      <c r="C780" s="29"/>
      <c r="D780" s="29"/>
      <c r="E780" s="29"/>
      <c r="F780" s="29"/>
      <c r="G780" s="29"/>
      <c r="H780" s="29"/>
      <c r="I780" s="29"/>
      <c r="J780" s="29"/>
      <c r="K780" s="29"/>
      <c r="L780" s="29"/>
    </row>
    <row r="781" spans="1:12" ht="14.25" customHeight="1" x14ac:dyDescent="0.3">
      <c r="A781" s="40"/>
      <c r="B781" s="29"/>
      <c r="C781" s="29"/>
      <c r="D781" s="29"/>
      <c r="E781" s="29"/>
      <c r="F781" s="29"/>
      <c r="G781" s="29"/>
      <c r="H781" s="29"/>
      <c r="I781" s="29"/>
      <c r="J781" s="29"/>
      <c r="K781" s="29"/>
      <c r="L781" s="29"/>
    </row>
    <row r="782" spans="1:12" ht="14.25" customHeight="1" x14ac:dyDescent="0.3">
      <c r="A782" s="40"/>
      <c r="B782" s="29"/>
      <c r="C782" s="29"/>
      <c r="D782" s="29"/>
      <c r="E782" s="29"/>
      <c r="F782" s="29"/>
      <c r="G782" s="29"/>
      <c r="H782" s="29"/>
      <c r="I782" s="29"/>
      <c r="J782" s="29"/>
      <c r="K782" s="29"/>
      <c r="L782" s="29"/>
    </row>
    <row r="783" spans="1:12" ht="14.25" customHeight="1" x14ac:dyDescent="0.3">
      <c r="A783" s="40"/>
      <c r="B783" s="29"/>
      <c r="C783" s="29"/>
      <c r="D783" s="29"/>
      <c r="E783" s="29"/>
      <c r="F783" s="29"/>
      <c r="G783" s="29"/>
      <c r="H783" s="29"/>
      <c r="I783" s="29"/>
      <c r="J783" s="29"/>
      <c r="K783" s="29"/>
      <c r="L783" s="29"/>
    </row>
    <row r="784" spans="1:12" ht="14.25" customHeight="1" x14ac:dyDescent="0.3">
      <c r="A784" s="40"/>
      <c r="B784" s="29"/>
      <c r="C784" s="29"/>
      <c r="D784" s="29"/>
      <c r="E784" s="29"/>
      <c r="F784" s="29"/>
      <c r="G784" s="29"/>
      <c r="H784" s="29"/>
      <c r="I784" s="29"/>
      <c r="J784" s="29"/>
      <c r="K784" s="29"/>
      <c r="L784" s="29"/>
    </row>
    <row r="785" spans="1:12" ht="14.25" customHeight="1" x14ac:dyDescent="0.3">
      <c r="A785" s="40"/>
      <c r="B785" s="29"/>
      <c r="C785" s="29"/>
      <c r="D785" s="29"/>
      <c r="E785" s="29"/>
      <c r="F785" s="29"/>
      <c r="G785" s="29"/>
      <c r="H785" s="29"/>
      <c r="I785" s="29"/>
      <c r="J785" s="29"/>
      <c r="K785" s="29"/>
      <c r="L785" s="29"/>
    </row>
    <row r="786" spans="1:12" ht="14.25" customHeight="1" x14ac:dyDescent="0.3">
      <c r="A786" s="40"/>
      <c r="B786" s="29"/>
      <c r="C786" s="29"/>
      <c r="D786" s="29"/>
      <c r="E786" s="29"/>
      <c r="F786" s="29"/>
      <c r="G786" s="29"/>
      <c r="H786" s="29"/>
      <c r="I786" s="29"/>
      <c r="J786" s="29"/>
      <c r="K786" s="29"/>
      <c r="L786" s="29"/>
    </row>
    <row r="787" spans="1:12" ht="14.25" customHeight="1" x14ac:dyDescent="0.3">
      <c r="A787" s="40"/>
      <c r="B787" s="29"/>
      <c r="C787" s="29"/>
      <c r="D787" s="29"/>
      <c r="E787" s="29"/>
      <c r="F787" s="29"/>
      <c r="G787" s="29"/>
      <c r="H787" s="29"/>
      <c r="I787" s="29"/>
      <c r="J787" s="29"/>
      <c r="K787" s="29"/>
      <c r="L787" s="29"/>
    </row>
    <row r="788" spans="1:12" ht="14.25" customHeight="1" x14ac:dyDescent="0.3">
      <c r="A788" s="40"/>
      <c r="B788" s="29"/>
      <c r="C788" s="29"/>
      <c r="D788" s="29"/>
      <c r="E788" s="29"/>
      <c r="F788" s="29"/>
      <c r="G788" s="29"/>
      <c r="H788" s="29"/>
      <c r="I788" s="29"/>
      <c r="J788" s="29"/>
      <c r="K788" s="29"/>
      <c r="L788" s="29"/>
    </row>
    <row r="789" spans="1:12" ht="14.25" customHeight="1" x14ac:dyDescent="0.3">
      <c r="A789" s="40"/>
      <c r="B789" s="29"/>
      <c r="C789" s="29"/>
      <c r="D789" s="29"/>
      <c r="E789" s="29"/>
      <c r="F789" s="29"/>
      <c r="G789" s="29"/>
      <c r="H789" s="29"/>
      <c r="I789" s="29"/>
      <c r="J789" s="29"/>
      <c r="K789" s="29"/>
      <c r="L789" s="29"/>
    </row>
    <row r="790" spans="1:12" ht="14.25" customHeight="1" x14ac:dyDescent="0.3">
      <c r="A790" s="40"/>
      <c r="B790" s="29"/>
      <c r="C790" s="29"/>
      <c r="D790" s="29"/>
      <c r="E790" s="29"/>
      <c r="F790" s="29"/>
      <c r="G790" s="29"/>
      <c r="H790" s="29"/>
      <c r="I790" s="29"/>
      <c r="J790" s="29"/>
      <c r="K790" s="29"/>
      <c r="L790" s="29"/>
    </row>
    <row r="791" spans="1:12" ht="14.25" customHeight="1" x14ac:dyDescent="0.3">
      <c r="A791" s="40"/>
      <c r="B791" s="29"/>
      <c r="C791" s="29"/>
      <c r="D791" s="29"/>
      <c r="E791" s="29"/>
      <c r="F791" s="29"/>
      <c r="G791" s="29"/>
      <c r="H791" s="29"/>
      <c r="I791" s="29"/>
      <c r="J791" s="29"/>
      <c r="K791" s="29"/>
      <c r="L791" s="29"/>
    </row>
    <row r="792" spans="1:12" ht="14.25" customHeight="1" x14ac:dyDescent="0.3">
      <c r="A792" s="40"/>
      <c r="B792" s="29"/>
      <c r="C792" s="29"/>
      <c r="D792" s="29"/>
      <c r="E792" s="29"/>
      <c r="F792" s="29"/>
      <c r="G792" s="29"/>
      <c r="H792" s="29"/>
      <c r="I792" s="29"/>
      <c r="J792" s="29"/>
      <c r="K792" s="29"/>
      <c r="L792" s="29"/>
    </row>
    <row r="793" spans="1:12" ht="14.25" customHeight="1" x14ac:dyDescent="0.3">
      <c r="A793" s="40"/>
      <c r="B793" s="29"/>
      <c r="C793" s="29"/>
      <c r="D793" s="29"/>
      <c r="E793" s="29"/>
      <c r="F793" s="29"/>
      <c r="G793" s="29"/>
      <c r="H793" s="29"/>
      <c r="I793" s="29"/>
      <c r="J793" s="29"/>
      <c r="K793" s="29"/>
      <c r="L793" s="29"/>
    </row>
    <row r="794" spans="1:12" ht="14.25" customHeight="1" x14ac:dyDescent="0.3">
      <c r="A794" s="40"/>
      <c r="B794" s="29"/>
      <c r="C794" s="29"/>
      <c r="D794" s="29"/>
      <c r="E794" s="29"/>
      <c r="F794" s="29"/>
      <c r="G794" s="29"/>
      <c r="H794" s="29"/>
      <c r="I794" s="29"/>
      <c r="J794" s="29"/>
      <c r="K794" s="29"/>
      <c r="L794" s="29"/>
    </row>
    <row r="795" spans="1:12" ht="14.25" customHeight="1" x14ac:dyDescent="0.3">
      <c r="A795" s="40"/>
      <c r="B795" s="29"/>
      <c r="C795" s="29"/>
      <c r="D795" s="29"/>
      <c r="E795" s="29"/>
      <c r="F795" s="29"/>
      <c r="G795" s="29"/>
      <c r="H795" s="29"/>
      <c r="I795" s="29"/>
      <c r="J795" s="29"/>
      <c r="K795" s="29"/>
      <c r="L795" s="29"/>
    </row>
    <row r="796" spans="1:12" ht="14.25" customHeight="1" x14ac:dyDescent="0.3">
      <c r="A796" s="40"/>
      <c r="B796" s="29"/>
      <c r="C796" s="29"/>
      <c r="D796" s="29"/>
      <c r="E796" s="29"/>
      <c r="F796" s="29"/>
      <c r="G796" s="29"/>
      <c r="H796" s="29"/>
      <c r="I796" s="29"/>
      <c r="J796" s="29"/>
      <c r="K796" s="29"/>
      <c r="L796" s="29"/>
    </row>
    <row r="797" spans="1:12" ht="14.25" customHeight="1" x14ac:dyDescent="0.3">
      <c r="A797" s="40"/>
      <c r="B797" s="29"/>
      <c r="C797" s="29"/>
      <c r="D797" s="29"/>
      <c r="E797" s="29"/>
      <c r="F797" s="29"/>
      <c r="G797" s="29"/>
      <c r="H797" s="29"/>
      <c r="I797" s="29"/>
      <c r="J797" s="29"/>
      <c r="K797" s="29"/>
      <c r="L797" s="29"/>
    </row>
    <row r="798" spans="1:12" ht="14.25" customHeight="1" x14ac:dyDescent="0.3">
      <c r="A798" s="40"/>
      <c r="B798" s="29"/>
      <c r="C798" s="29"/>
      <c r="D798" s="29"/>
      <c r="E798" s="29"/>
      <c r="F798" s="29"/>
      <c r="G798" s="29"/>
      <c r="H798" s="29"/>
      <c r="I798" s="29"/>
      <c r="J798" s="29"/>
      <c r="K798" s="29"/>
      <c r="L798" s="29"/>
    </row>
    <row r="799" spans="1:12" ht="14.25" customHeight="1" x14ac:dyDescent="0.3">
      <c r="A799" s="40"/>
      <c r="B799" s="29"/>
      <c r="C799" s="29"/>
      <c r="D799" s="29"/>
      <c r="E799" s="29"/>
      <c r="F799" s="29"/>
      <c r="G799" s="29"/>
      <c r="H799" s="29"/>
      <c r="I799" s="29"/>
      <c r="J799" s="29"/>
      <c r="K799" s="29"/>
      <c r="L799" s="29"/>
    </row>
    <row r="800" spans="1:12" ht="14.25" customHeight="1" x14ac:dyDescent="0.3">
      <c r="A800" s="40"/>
      <c r="B800" s="29"/>
      <c r="C800" s="29"/>
      <c r="D800" s="29"/>
      <c r="E800" s="29"/>
      <c r="F800" s="29"/>
      <c r="G800" s="29"/>
      <c r="H800" s="29"/>
      <c r="I800" s="29"/>
      <c r="J800" s="29"/>
      <c r="K800" s="29"/>
      <c r="L800" s="29"/>
    </row>
    <row r="801" spans="1:12" ht="14.25" customHeight="1" x14ac:dyDescent="0.3">
      <c r="A801" s="40"/>
      <c r="B801" s="29"/>
      <c r="C801" s="29"/>
      <c r="D801" s="29"/>
      <c r="E801" s="29"/>
      <c r="F801" s="29"/>
      <c r="G801" s="29"/>
      <c r="H801" s="29"/>
      <c r="I801" s="29"/>
      <c r="J801" s="29"/>
      <c r="K801" s="29"/>
      <c r="L801" s="29"/>
    </row>
    <row r="802" spans="1:12" ht="14.25" customHeight="1" x14ac:dyDescent="0.3">
      <c r="A802" s="40"/>
      <c r="B802" s="29"/>
      <c r="C802" s="29"/>
      <c r="D802" s="29"/>
      <c r="E802" s="29"/>
      <c r="F802" s="29"/>
      <c r="G802" s="29"/>
      <c r="H802" s="29"/>
      <c r="I802" s="29"/>
      <c r="J802" s="29"/>
      <c r="K802" s="29"/>
      <c r="L802" s="29"/>
    </row>
    <row r="803" spans="1:12" ht="14.25" customHeight="1" x14ac:dyDescent="0.3">
      <c r="A803" s="40"/>
      <c r="B803" s="29"/>
      <c r="C803" s="29"/>
      <c r="D803" s="29"/>
      <c r="E803" s="29"/>
      <c r="F803" s="29"/>
      <c r="G803" s="29"/>
      <c r="H803" s="29"/>
      <c r="I803" s="29"/>
      <c r="J803" s="29"/>
      <c r="K803" s="29"/>
      <c r="L803" s="29"/>
    </row>
    <row r="804" spans="1:12" ht="14.25" customHeight="1" x14ac:dyDescent="0.3">
      <c r="A804" s="40"/>
      <c r="B804" s="29"/>
      <c r="C804" s="29"/>
      <c r="D804" s="29"/>
      <c r="E804" s="29"/>
      <c r="F804" s="29"/>
      <c r="G804" s="29"/>
      <c r="H804" s="29"/>
      <c r="I804" s="29"/>
      <c r="J804" s="29"/>
      <c r="K804" s="29"/>
      <c r="L804" s="29"/>
    </row>
    <row r="805" spans="1:12" ht="14.25" customHeight="1" x14ac:dyDescent="0.3">
      <c r="A805" s="40"/>
      <c r="B805" s="29"/>
      <c r="C805" s="29"/>
      <c r="D805" s="29"/>
      <c r="E805" s="29"/>
      <c r="F805" s="29"/>
      <c r="G805" s="29"/>
      <c r="H805" s="29"/>
      <c r="I805" s="29"/>
      <c r="J805" s="29"/>
      <c r="K805" s="29"/>
      <c r="L805" s="29"/>
    </row>
    <row r="806" spans="1:12" ht="14.25" customHeight="1" x14ac:dyDescent="0.3">
      <c r="A806" s="40"/>
      <c r="B806" s="29"/>
      <c r="C806" s="29"/>
      <c r="D806" s="29"/>
      <c r="E806" s="29"/>
      <c r="F806" s="29"/>
      <c r="G806" s="29"/>
      <c r="H806" s="29"/>
      <c r="I806" s="29"/>
      <c r="J806" s="29"/>
      <c r="K806" s="29"/>
      <c r="L806" s="29"/>
    </row>
    <row r="807" spans="1:12" ht="14.25" customHeight="1" x14ac:dyDescent="0.3">
      <c r="A807" s="40"/>
      <c r="B807" s="29"/>
      <c r="C807" s="29"/>
      <c r="D807" s="29"/>
      <c r="E807" s="29"/>
      <c r="F807" s="29"/>
      <c r="G807" s="29"/>
      <c r="H807" s="29"/>
      <c r="I807" s="29"/>
      <c r="J807" s="29"/>
      <c r="K807" s="29"/>
      <c r="L807" s="29"/>
    </row>
    <row r="808" spans="1:12" ht="14.25" customHeight="1" x14ac:dyDescent="0.3">
      <c r="A808" s="40"/>
      <c r="B808" s="29"/>
      <c r="C808" s="29"/>
      <c r="D808" s="29"/>
      <c r="E808" s="29"/>
      <c r="F808" s="29"/>
      <c r="G808" s="29"/>
      <c r="H808" s="29"/>
      <c r="I808" s="29"/>
      <c r="J808" s="29"/>
      <c r="K808" s="29"/>
      <c r="L808" s="29"/>
    </row>
    <row r="809" spans="1:12" ht="14.25" customHeight="1" x14ac:dyDescent="0.3">
      <c r="A809" s="40"/>
      <c r="B809" s="29"/>
      <c r="C809" s="29"/>
      <c r="D809" s="29"/>
      <c r="E809" s="29"/>
      <c r="F809" s="29"/>
      <c r="G809" s="29"/>
      <c r="H809" s="29"/>
      <c r="I809" s="29"/>
      <c r="J809" s="29"/>
      <c r="K809" s="29"/>
      <c r="L809" s="29"/>
    </row>
    <row r="810" spans="1:12" ht="14.25" customHeight="1" x14ac:dyDescent="0.3">
      <c r="A810" s="40"/>
      <c r="B810" s="29"/>
      <c r="C810" s="29"/>
      <c r="D810" s="29"/>
      <c r="E810" s="29"/>
      <c r="F810" s="29"/>
      <c r="G810" s="29"/>
      <c r="H810" s="29"/>
      <c r="I810" s="29"/>
      <c r="J810" s="29"/>
      <c r="K810" s="29"/>
      <c r="L810" s="29"/>
    </row>
    <row r="811" spans="1:12" ht="14.25" customHeight="1" x14ac:dyDescent="0.3">
      <c r="A811" s="40"/>
      <c r="B811" s="29"/>
      <c r="C811" s="29"/>
      <c r="D811" s="29"/>
      <c r="E811" s="29"/>
      <c r="F811" s="29"/>
      <c r="G811" s="29"/>
      <c r="H811" s="29"/>
      <c r="I811" s="29"/>
      <c r="J811" s="29"/>
      <c r="K811" s="29"/>
      <c r="L811" s="29"/>
    </row>
    <row r="812" spans="1:12" ht="14.25" customHeight="1" x14ac:dyDescent="0.3">
      <c r="A812" s="40"/>
      <c r="B812" s="29"/>
      <c r="C812" s="29"/>
      <c r="D812" s="29"/>
      <c r="E812" s="29"/>
      <c r="F812" s="29"/>
      <c r="G812" s="29"/>
      <c r="H812" s="29"/>
      <c r="I812" s="29"/>
      <c r="J812" s="29"/>
      <c r="K812" s="29"/>
      <c r="L812" s="29"/>
    </row>
    <row r="813" spans="1:12" ht="14.25" customHeight="1" x14ac:dyDescent="0.3">
      <c r="A813" s="40"/>
      <c r="B813" s="29"/>
      <c r="C813" s="29"/>
      <c r="D813" s="29"/>
      <c r="E813" s="29"/>
      <c r="F813" s="29"/>
      <c r="G813" s="29"/>
      <c r="H813" s="29"/>
      <c r="I813" s="29"/>
      <c r="J813" s="29"/>
      <c r="K813" s="29"/>
      <c r="L813" s="29"/>
    </row>
    <row r="814" spans="1:12" ht="14.25" customHeight="1" x14ac:dyDescent="0.3">
      <c r="A814" s="40"/>
      <c r="B814" s="29"/>
      <c r="C814" s="29"/>
      <c r="D814" s="29"/>
      <c r="E814" s="29"/>
      <c r="F814" s="29"/>
      <c r="G814" s="29"/>
      <c r="H814" s="29"/>
      <c r="I814" s="29"/>
      <c r="J814" s="29"/>
      <c r="K814" s="29"/>
      <c r="L814" s="29"/>
    </row>
    <row r="815" spans="1:12" ht="14.25" customHeight="1" x14ac:dyDescent="0.3">
      <c r="A815" s="40"/>
      <c r="B815" s="29"/>
      <c r="C815" s="29"/>
      <c r="D815" s="29"/>
      <c r="E815" s="29"/>
      <c r="F815" s="29"/>
      <c r="G815" s="29"/>
      <c r="H815" s="29"/>
      <c r="I815" s="29"/>
      <c r="J815" s="29"/>
      <c r="K815" s="29"/>
      <c r="L815" s="29"/>
    </row>
    <row r="816" spans="1:12" ht="14.25" customHeight="1" x14ac:dyDescent="0.3">
      <c r="A816" s="40"/>
      <c r="B816" s="29"/>
      <c r="C816" s="29"/>
      <c r="D816" s="29"/>
      <c r="E816" s="29"/>
      <c r="F816" s="29"/>
      <c r="G816" s="29"/>
      <c r="H816" s="29"/>
      <c r="I816" s="29"/>
      <c r="J816" s="29"/>
      <c r="K816" s="29"/>
      <c r="L816" s="29"/>
    </row>
    <row r="817" spans="1:12" ht="14.25" customHeight="1" x14ac:dyDescent="0.3">
      <c r="A817" s="40"/>
      <c r="B817" s="29"/>
      <c r="C817" s="29"/>
      <c r="D817" s="29"/>
      <c r="E817" s="29"/>
      <c r="F817" s="29"/>
      <c r="G817" s="29"/>
      <c r="H817" s="29"/>
      <c r="I817" s="29"/>
      <c r="J817" s="29"/>
      <c r="K817" s="29"/>
      <c r="L817" s="29"/>
    </row>
    <row r="818" spans="1:12" ht="14.25" customHeight="1" x14ac:dyDescent="0.3">
      <c r="A818" s="40"/>
      <c r="B818" s="29"/>
      <c r="C818" s="29"/>
      <c r="D818" s="29"/>
      <c r="E818" s="29"/>
      <c r="F818" s="29"/>
      <c r="G818" s="29"/>
      <c r="H818" s="29"/>
      <c r="I818" s="29"/>
      <c r="J818" s="29"/>
      <c r="K818" s="29"/>
      <c r="L818" s="29"/>
    </row>
    <row r="819" spans="1:12" ht="14.25" customHeight="1" x14ac:dyDescent="0.3">
      <c r="A819" s="40"/>
      <c r="B819" s="29"/>
      <c r="C819" s="29"/>
      <c r="D819" s="29"/>
      <c r="E819" s="29"/>
      <c r="F819" s="29"/>
      <c r="G819" s="29"/>
      <c r="H819" s="29"/>
      <c r="I819" s="29"/>
      <c r="J819" s="29"/>
      <c r="K819" s="29"/>
      <c r="L819" s="29"/>
    </row>
    <row r="820" spans="1:12" ht="14.25" customHeight="1" x14ac:dyDescent="0.3">
      <c r="A820" s="40"/>
      <c r="B820" s="29"/>
      <c r="C820" s="29"/>
      <c r="D820" s="29"/>
      <c r="E820" s="29"/>
      <c r="F820" s="29"/>
      <c r="G820" s="29"/>
      <c r="H820" s="29"/>
      <c r="I820" s="29"/>
      <c r="J820" s="29"/>
      <c r="K820" s="29"/>
      <c r="L820" s="29"/>
    </row>
    <row r="821" spans="1:12" ht="14.25" customHeight="1" x14ac:dyDescent="0.3">
      <c r="A821" s="40"/>
      <c r="B821" s="29"/>
      <c r="C821" s="29"/>
      <c r="D821" s="29"/>
      <c r="E821" s="29"/>
      <c r="F821" s="29"/>
      <c r="G821" s="29"/>
      <c r="H821" s="29"/>
      <c r="I821" s="29"/>
      <c r="J821" s="29"/>
      <c r="K821" s="29"/>
      <c r="L821" s="29"/>
    </row>
    <row r="822" spans="1:12" ht="14.25" customHeight="1" x14ac:dyDescent="0.3">
      <c r="A822" s="40"/>
      <c r="B822" s="29"/>
      <c r="C822" s="29"/>
      <c r="D822" s="29"/>
      <c r="E822" s="29"/>
      <c r="F822" s="29"/>
      <c r="G822" s="29"/>
      <c r="H822" s="29"/>
      <c r="I822" s="29"/>
      <c r="J822" s="29"/>
      <c r="K822" s="29"/>
      <c r="L822" s="29"/>
    </row>
    <row r="823" spans="1:12" ht="14.25" customHeight="1" x14ac:dyDescent="0.3">
      <c r="A823" s="40"/>
      <c r="B823" s="29"/>
      <c r="C823" s="29"/>
      <c r="D823" s="29"/>
      <c r="E823" s="29"/>
      <c r="F823" s="29"/>
      <c r="G823" s="29"/>
      <c r="H823" s="29"/>
      <c r="I823" s="29"/>
      <c r="J823" s="29"/>
      <c r="K823" s="29"/>
      <c r="L823" s="29"/>
    </row>
    <row r="824" spans="1:12" ht="14.25" customHeight="1" x14ac:dyDescent="0.3">
      <c r="A824" s="40"/>
      <c r="B824" s="29"/>
      <c r="C824" s="29"/>
      <c r="D824" s="29"/>
      <c r="E824" s="29"/>
      <c r="F824" s="29"/>
      <c r="G824" s="29"/>
      <c r="H824" s="29"/>
      <c r="I824" s="29"/>
      <c r="J824" s="29"/>
      <c r="K824" s="29"/>
      <c r="L824" s="29"/>
    </row>
    <row r="825" spans="1:12" ht="14.25" customHeight="1" x14ac:dyDescent="0.3">
      <c r="A825" s="40"/>
      <c r="B825" s="29"/>
      <c r="C825" s="29"/>
      <c r="D825" s="29"/>
      <c r="E825" s="29"/>
      <c r="F825" s="29"/>
      <c r="G825" s="29"/>
      <c r="H825" s="29"/>
      <c r="I825" s="29"/>
      <c r="J825" s="29"/>
      <c r="K825" s="29"/>
      <c r="L825" s="29"/>
    </row>
    <row r="826" spans="1:12" ht="14.25" customHeight="1" x14ac:dyDescent="0.3">
      <c r="A826" s="40"/>
      <c r="B826" s="29"/>
      <c r="C826" s="29"/>
      <c r="D826" s="29"/>
      <c r="E826" s="29"/>
      <c r="F826" s="29"/>
      <c r="G826" s="29"/>
      <c r="H826" s="29"/>
      <c r="I826" s="29"/>
      <c r="J826" s="29"/>
      <c r="K826" s="29"/>
      <c r="L826" s="29"/>
    </row>
    <row r="827" spans="1:12" ht="14.25" customHeight="1" x14ac:dyDescent="0.3">
      <c r="A827" s="40"/>
      <c r="B827" s="29"/>
      <c r="C827" s="29"/>
      <c r="D827" s="29"/>
      <c r="E827" s="29"/>
      <c r="F827" s="29"/>
      <c r="G827" s="29"/>
      <c r="H827" s="29"/>
      <c r="I827" s="29"/>
      <c r="J827" s="29"/>
      <c r="K827" s="29"/>
      <c r="L827" s="29"/>
    </row>
    <row r="828" spans="1:12" ht="14.25" customHeight="1" x14ac:dyDescent="0.3">
      <c r="A828" s="40"/>
      <c r="B828" s="29"/>
      <c r="C828" s="29"/>
      <c r="D828" s="29"/>
      <c r="E828" s="29"/>
      <c r="F828" s="29"/>
      <c r="G828" s="29"/>
      <c r="H828" s="29"/>
      <c r="I828" s="29"/>
      <c r="J828" s="29"/>
      <c r="K828" s="29"/>
      <c r="L828" s="29"/>
    </row>
    <row r="829" spans="1:12" ht="14.25" customHeight="1" x14ac:dyDescent="0.3">
      <c r="A829" s="40"/>
      <c r="B829" s="29"/>
      <c r="C829" s="29"/>
      <c r="D829" s="29"/>
      <c r="E829" s="29"/>
      <c r="F829" s="29"/>
      <c r="G829" s="29"/>
      <c r="H829" s="29"/>
      <c r="I829" s="29"/>
      <c r="J829" s="29"/>
      <c r="K829" s="29"/>
      <c r="L829" s="29"/>
    </row>
    <row r="830" spans="1:12" ht="14.25" customHeight="1" x14ac:dyDescent="0.3">
      <c r="A830" s="40"/>
      <c r="B830" s="29"/>
      <c r="C830" s="29"/>
      <c r="D830" s="29"/>
      <c r="E830" s="29"/>
      <c r="F830" s="29"/>
      <c r="G830" s="29"/>
      <c r="H830" s="29"/>
      <c r="I830" s="29"/>
      <c r="J830" s="29"/>
      <c r="K830" s="29"/>
      <c r="L830" s="29"/>
    </row>
    <row r="831" spans="1:12" ht="14.25" customHeight="1" x14ac:dyDescent="0.3">
      <c r="A831" s="40"/>
      <c r="B831" s="29"/>
      <c r="C831" s="29"/>
      <c r="D831" s="29"/>
      <c r="E831" s="29"/>
      <c r="F831" s="29"/>
      <c r="G831" s="29"/>
      <c r="H831" s="29"/>
      <c r="I831" s="29"/>
      <c r="J831" s="29"/>
      <c r="K831" s="29"/>
      <c r="L831" s="29"/>
    </row>
    <row r="832" spans="1:12" ht="14.25" customHeight="1" x14ac:dyDescent="0.3">
      <c r="A832" s="40"/>
      <c r="B832" s="29"/>
      <c r="C832" s="29"/>
      <c r="D832" s="29"/>
      <c r="E832" s="29"/>
      <c r="F832" s="29"/>
      <c r="G832" s="29"/>
      <c r="H832" s="29"/>
      <c r="I832" s="29"/>
      <c r="J832" s="29"/>
      <c r="K832" s="29"/>
      <c r="L832" s="29"/>
    </row>
    <row r="833" spans="1:12" ht="14.25" customHeight="1" x14ac:dyDescent="0.3">
      <c r="A833" s="40"/>
      <c r="B833" s="29"/>
      <c r="C833" s="29"/>
      <c r="D833" s="29"/>
      <c r="E833" s="29"/>
      <c r="F833" s="29"/>
      <c r="G833" s="29"/>
      <c r="H833" s="29"/>
      <c r="I833" s="29"/>
      <c r="J833" s="29"/>
      <c r="K833" s="29"/>
      <c r="L833" s="29"/>
    </row>
    <row r="834" spans="1:12" ht="14.25" customHeight="1" x14ac:dyDescent="0.3">
      <c r="A834" s="40"/>
      <c r="B834" s="29"/>
      <c r="C834" s="29"/>
      <c r="D834" s="29"/>
      <c r="E834" s="29"/>
      <c r="F834" s="29"/>
      <c r="G834" s="29"/>
      <c r="H834" s="29"/>
      <c r="I834" s="29"/>
      <c r="J834" s="29"/>
      <c r="K834" s="29"/>
      <c r="L834" s="29"/>
    </row>
    <row r="835" spans="1:12" ht="14.25" customHeight="1" x14ac:dyDescent="0.3">
      <c r="A835" s="40"/>
      <c r="B835" s="29"/>
      <c r="C835" s="29"/>
      <c r="D835" s="29"/>
      <c r="E835" s="29"/>
      <c r="F835" s="29"/>
      <c r="G835" s="29"/>
      <c r="H835" s="29"/>
      <c r="I835" s="29"/>
      <c r="J835" s="29"/>
      <c r="K835" s="29"/>
      <c r="L835" s="29"/>
    </row>
    <row r="836" spans="1:12" ht="14.25" customHeight="1" x14ac:dyDescent="0.3">
      <c r="A836" s="40"/>
      <c r="B836" s="29"/>
      <c r="C836" s="29"/>
      <c r="D836" s="29"/>
      <c r="E836" s="29"/>
      <c r="F836" s="29"/>
      <c r="G836" s="29"/>
      <c r="H836" s="29"/>
      <c r="I836" s="29"/>
      <c r="J836" s="29"/>
      <c r="K836" s="29"/>
      <c r="L836" s="29"/>
    </row>
    <row r="837" spans="1:12" ht="14.25" customHeight="1" x14ac:dyDescent="0.3">
      <c r="A837" s="40"/>
      <c r="B837" s="29"/>
      <c r="C837" s="29"/>
      <c r="D837" s="29"/>
      <c r="E837" s="29"/>
      <c r="F837" s="29"/>
      <c r="G837" s="29"/>
      <c r="H837" s="29"/>
      <c r="I837" s="29"/>
      <c r="J837" s="29"/>
      <c r="K837" s="29"/>
      <c r="L837" s="29"/>
    </row>
    <row r="838" spans="1:12" ht="14.25" customHeight="1" x14ac:dyDescent="0.3">
      <c r="A838" s="40"/>
      <c r="B838" s="29"/>
      <c r="C838" s="29"/>
      <c r="D838" s="29"/>
      <c r="E838" s="29"/>
      <c r="F838" s="29"/>
      <c r="G838" s="29"/>
      <c r="H838" s="29"/>
      <c r="I838" s="29"/>
      <c r="J838" s="29"/>
      <c r="K838" s="29"/>
      <c r="L838" s="29"/>
    </row>
    <row r="839" spans="1:12" ht="14.25" customHeight="1" x14ac:dyDescent="0.3">
      <c r="A839" s="40"/>
      <c r="B839" s="29"/>
      <c r="C839" s="29"/>
      <c r="D839" s="29"/>
      <c r="E839" s="29"/>
      <c r="F839" s="29"/>
      <c r="G839" s="29"/>
      <c r="H839" s="29"/>
      <c r="I839" s="29"/>
      <c r="J839" s="29"/>
      <c r="K839" s="29"/>
      <c r="L839" s="29"/>
    </row>
    <row r="840" spans="1:12" ht="14.25" customHeight="1" x14ac:dyDescent="0.3">
      <c r="A840" s="40"/>
      <c r="B840" s="29"/>
      <c r="C840" s="29"/>
      <c r="D840" s="29"/>
      <c r="E840" s="29"/>
      <c r="F840" s="29"/>
      <c r="G840" s="29"/>
      <c r="H840" s="29"/>
      <c r="I840" s="29"/>
      <c r="J840" s="29"/>
      <c r="K840" s="29"/>
      <c r="L840" s="29"/>
    </row>
    <row r="841" spans="1:12" ht="14.25" customHeight="1" x14ac:dyDescent="0.3">
      <c r="A841" s="40"/>
      <c r="B841" s="29"/>
      <c r="C841" s="29"/>
      <c r="D841" s="29"/>
      <c r="E841" s="29"/>
      <c r="F841" s="29"/>
      <c r="G841" s="29"/>
      <c r="H841" s="29"/>
      <c r="I841" s="29"/>
      <c r="J841" s="29"/>
      <c r="K841" s="29"/>
      <c r="L841" s="29"/>
    </row>
    <row r="842" spans="1:12" ht="14.25" customHeight="1" x14ac:dyDescent="0.3">
      <c r="A842" s="40"/>
      <c r="B842" s="29"/>
      <c r="C842" s="29"/>
      <c r="D842" s="29"/>
      <c r="E842" s="29"/>
      <c r="F842" s="29"/>
      <c r="G842" s="29"/>
      <c r="H842" s="29"/>
      <c r="I842" s="29"/>
      <c r="J842" s="29"/>
      <c r="K842" s="29"/>
      <c r="L842" s="29"/>
    </row>
    <row r="843" spans="1:12" ht="14.25" customHeight="1" x14ac:dyDescent="0.3">
      <c r="A843" s="40"/>
      <c r="B843" s="29"/>
      <c r="C843" s="29"/>
      <c r="D843" s="29"/>
      <c r="E843" s="29"/>
      <c r="F843" s="29"/>
      <c r="G843" s="29"/>
      <c r="H843" s="29"/>
      <c r="I843" s="29"/>
      <c r="J843" s="29"/>
      <c r="K843" s="29"/>
      <c r="L843" s="29"/>
    </row>
    <row r="844" spans="1:12" ht="14.25" customHeight="1" x14ac:dyDescent="0.3">
      <c r="A844" s="40"/>
      <c r="B844" s="29"/>
      <c r="C844" s="29"/>
      <c r="D844" s="29"/>
      <c r="E844" s="29"/>
      <c r="F844" s="29"/>
      <c r="G844" s="29"/>
      <c r="H844" s="29"/>
      <c r="I844" s="29"/>
      <c r="J844" s="29"/>
      <c r="K844" s="29"/>
      <c r="L844" s="29"/>
    </row>
    <row r="845" spans="1:12" ht="14.25" customHeight="1" x14ac:dyDescent="0.3">
      <c r="A845" s="40"/>
      <c r="B845" s="29"/>
      <c r="C845" s="29"/>
      <c r="D845" s="29"/>
      <c r="E845" s="29"/>
      <c r="F845" s="29"/>
      <c r="G845" s="29"/>
      <c r="H845" s="29"/>
      <c r="I845" s="29"/>
      <c r="J845" s="29"/>
      <c r="K845" s="29"/>
      <c r="L845" s="29"/>
    </row>
    <row r="846" spans="1:12" ht="14.25" customHeight="1" x14ac:dyDescent="0.3">
      <c r="A846" s="40"/>
      <c r="B846" s="29"/>
      <c r="C846" s="29"/>
      <c r="D846" s="29"/>
      <c r="E846" s="29"/>
      <c r="F846" s="29"/>
      <c r="G846" s="29"/>
      <c r="H846" s="29"/>
      <c r="I846" s="29"/>
      <c r="J846" s="29"/>
      <c r="K846" s="29"/>
      <c r="L846" s="29"/>
    </row>
    <row r="847" spans="1:12" ht="14.25" customHeight="1" x14ac:dyDescent="0.3">
      <c r="A847" s="40"/>
      <c r="B847" s="29"/>
      <c r="C847" s="29"/>
      <c r="D847" s="29"/>
      <c r="E847" s="29"/>
      <c r="F847" s="29"/>
      <c r="G847" s="29"/>
      <c r="H847" s="29"/>
      <c r="I847" s="29"/>
      <c r="J847" s="29"/>
      <c r="K847" s="29"/>
      <c r="L847" s="29"/>
    </row>
    <row r="848" spans="1:12" ht="14.25" customHeight="1" x14ac:dyDescent="0.3">
      <c r="A848" s="40"/>
      <c r="B848" s="29"/>
      <c r="C848" s="29"/>
      <c r="D848" s="29"/>
      <c r="E848" s="29"/>
      <c r="F848" s="29"/>
      <c r="G848" s="29"/>
      <c r="H848" s="29"/>
      <c r="I848" s="29"/>
      <c r="J848" s="29"/>
      <c r="K848" s="29"/>
      <c r="L848" s="29"/>
    </row>
    <row r="849" spans="1:12" ht="14.25" customHeight="1" x14ac:dyDescent="0.3">
      <c r="A849" s="40"/>
      <c r="B849" s="29"/>
      <c r="C849" s="29"/>
      <c r="D849" s="29"/>
      <c r="E849" s="29"/>
      <c r="F849" s="29"/>
      <c r="G849" s="29"/>
      <c r="H849" s="29"/>
      <c r="I849" s="29"/>
      <c r="J849" s="29"/>
      <c r="K849" s="29"/>
      <c r="L849" s="29"/>
    </row>
    <row r="850" spans="1:12" ht="14.25" customHeight="1" x14ac:dyDescent="0.3">
      <c r="A850" s="40"/>
      <c r="B850" s="29"/>
      <c r="C850" s="29"/>
      <c r="D850" s="29"/>
      <c r="E850" s="29"/>
      <c r="F850" s="29"/>
      <c r="G850" s="29"/>
      <c r="H850" s="29"/>
      <c r="I850" s="29"/>
      <c r="J850" s="29"/>
      <c r="K850" s="29"/>
      <c r="L850" s="29"/>
    </row>
    <row r="851" spans="1:12" ht="14.25" customHeight="1" x14ac:dyDescent="0.3">
      <c r="A851" s="40"/>
      <c r="B851" s="29"/>
      <c r="C851" s="29"/>
      <c r="D851" s="29"/>
      <c r="E851" s="29"/>
      <c r="F851" s="29"/>
      <c r="G851" s="29"/>
      <c r="H851" s="29"/>
      <c r="I851" s="29"/>
      <c r="J851" s="29"/>
      <c r="K851" s="29"/>
      <c r="L851" s="29"/>
    </row>
    <row r="852" spans="1:12" ht="14.25" customHeight="1" x14ac:dyDescent="0.3">
      <c r="A852" s="40"/>
      <c r="B852" s="29"/>
      <c r="C852" s="29"/>
      <c r="D852" s="29"/>
      <c r="E852" s="29"/>
      <c r="F852" s="29"/>
      <c r="G852" s="29"/>
      <c r="H852" s="29"/>
      <c r="I852" s="29"/>
      <c r="J852" s="29"/>
      <c r="K852" s="29"/>
      <c r="L852" s="29"/>
    </row>
    <row r="853" spans="1:12" ht="14.25" customHeight="1" x14ac:dyDescent="0.3">
      <c r="A853" s="40"/>
      <c r="B853" s="29"/>
      <c r="C853" s="29"/>
      <c r="D853" s="29"/>
      <c r="E853" s="29"/>
      <c r="F853" s="29"/>
      <c r="G853" s="29"/>
      <c r="H853" s="29"/>
      <c r="I853" s="29"/>
      <c r="J853" s="29"/>
      <c r="K853" s="29"/>
      <c r="L853" s="29"/>
    </row>
    <row r="854" spans="1:12" ht="14.25" customHeight="1" x14ac:dyDescent="0.3">
      <c r="A854" s="40"/>
      <c r="B854" s="29"/>
      <c r="C854" s="29"/>
      <c r="D854" s="29"/>
      <c r="E854" s="29"/>
      <c r="F854" s="29"/>
      <c r="G854" s="29"/>
      <c r="H854" s="29"/>
      <c r="I854" s="29"/>
      <c r="J854" s="29"/>
      <c r="K854" s="29"/>
      <c r="L854" s="29"/>
    </row>
    <row r="855" spans="1:12" ht="14.25" customHeight="1" x14ac:dyDescent="0.3">
      <c r="A855" s="40"/>
      <c r="B855" s="29"/>
      <c r="C855" s="29"/>
      <c r="D855" s="29"/>
      <c r="E855" s="29"/>
      <c r="F855" s="29"/>
      <c r="G855" s="29"/>
      <c r="H855" s="29"/>
      <c r="I855" s="29"/>
      <c r="J855" s="29"/>
      <c r="K855" s="29"/>
      <c r="L855" s="29"/>
    </row>
    <row r="856" spans="1:12" ht="14.25" customHeight="1" x14ac:dyDescent="0.3">
      <c r="A856" s="40"/>
      <c r="B856" s="29"/>
      <c r="C856" s="29"/>
      <c r="D856" s="29"/>
      <c r="E856" s="29"/>
      <c r="F856" s="29"/>
      <c r="G856" s="29"/>
      <c r="H856" s="29"/>
      <c r="I856" s="29"/>
      <c r="J856" s="29"/>
      <c r="K856" s="29"/>
      <c r="L856" s="29"/>
    </row>
    <row r="857" spans="1:12" ht="14.25" customHeight="1" x14ac:dyDescent="0.3">
      <c r="A857" s="40"/>
      <c r="B857" s="29"/>
      <c r="C857" s="29"/>
      <c r="D857" s="29"/>
      <c r="E857" s="29"/>
      <c r="F857" s="29"/>
      <c r="G857" s="29"/>
      <c r="H857" s="29"/>
      <c r="I857" s="29"/>
      <c r="J857" s="29"/>
      <c r="K857" s="29"/>
      <c r="L857" s="29"/>
    </row>
    <row r="858" spans="1:12" ht="14.25" customHeight="1" x14ac:dyDescent="0.3">
      <c r="A858" s="40"/>
      <c r="B858" s="29"/>
      <c r="C858" s="29"/>
      <c r="D858" s="29"/>
      <c r="E858" s="29"/>
      <c r="F858" s="29"/>
      <c r="G858" s="29"/>
      <c r="H858" s="29"/>
      <c r="I858" s="29"/>
      <c r="J858" s="29"/>
      <c r="K858" s="29"/>
      <c r="L858" s="29"/>
    </row>
    <row r="859" spans="1:12" ht="14.25" customHeight="1" x14ac:dyDescent="0.3">
      <c r="A859" s="40"/>
      <c r="B859" s="29"/>
      <c r="C859" s="29"/>
      <c r="D859" s="29"/>
      <c r="E859" s="29"/>
      <c r="F859" s="29"/>
      <c r="G859" s="29"/>
      <c r="H859" s="29"/>
      <c r="I859" s="29"/>
      <c r="J859" s="29"/>
      <c r="K859" s="29"/>
      <c r="L859" s="29"/>
    </row>
    <row r="860" spans="1:12" ht="14.25" customHeight="1" x14ac:dyDescent="0.3">
      <c r="A860" s="40"/>
      <c r="B860" s="29"/>
      <c r="C860" s="29"/>
      <c r="D860" s="29"/>
      <c r="E860" s="29"/>
      <c r="F860" s="29"/>
      <c r="G860" s="29"/>
      <c r="H860" s="29"/>
      <c r="I860" s="29"/>
      <c r="J860" s="29"/>
      <c r="K860" s="29"/>
      <c r="L860" s="29"/>
    </row>
    <row r="861" spans="1:12" ht="14.25" customHeight="1" x14ac:dyDescent="0.3">
      <c r="A861" s="40"/>
      <c r="B861" s="29"/>
      <c r="C861" s="29"/>
      <c r="D861" s="29"/>
      <c r="E861" s="29"/>
      <c r="F861" s="29"/>
      <c r="G861" s="29"/>
      <c r="H861" s="29"/>
      <c r="I861" s="29"/>
      <c r="J861" s="29"/>
      <c r="K861" s="29"/>
      <c r="L861" s="29"/>
    </row>
    <row r="862" spans="1:12" ht="14.25" customHeight="1" x14ac:dyDescent="0.3">
      <c r="A862" s="40"/>
      <c r="B862" s="29"/>
      <c r="C862" s="29"/>
      <c r="D862" s="29"/>
      <c r="E862" s="29"/>
      <c r="F862" s="29"/>
      <c r="G862" s="29"/>
      <c r="H862" s="29"/>
      <c r="I862" s="29"/>
      <c r="J862" s="29"/>
      <c r="K862" s="29"/>
      <c r="L862" s="29"/>
    </row>
    <row r="863" spans="1:12" ht="14.25" customHeight="1" x14ac:dyDescent="0.3">
      <c r="A863" s="40"/>
      <c r="B863" s="29"/>
      <c r="C863" s="29"/>
      <c r="D863" s="29"/>
      <c r="E863" s="29"/>
      <c r="F863" s="29"/>
      <c r="G863" s="29"/>
      <c r="H863" s="29"/>
      <c r="I863" s="29"/>
      <c r="J863" s="29"/>
      <c r="K863" s="29"/>
      <c r="L863" s="29"/>
    </row>
    <row r="864" spans="1:12" ht="14.25" customHeight="1" x14ac:dyDescent="0.3">
      <c r="A864" s="40"/>
      <c r="B864" s="29"/>
      <c r="C864" s="29"/>
      <c r="D864" s="29"/>
      <c r="E864" s="29"/>
      <c r="F864" s="29"/>
      <c r="G864" s="29"/>
      <c r="H864" s="29"/>
      <c r="I864" s="29"/>
      <c r="J864" s="29"/>
      <c r="K864" s="29"/>
      <c r="L864" s="29"/>
    </row>
    <row r="865" spans="1:12" ht="14.25" customHeight="1" x14ac:dyDescent="0.3">
      <c r="A865" s="40"/>
      <c r="B865" s="29"/>
      <c r="C865" s="29"/>
      <c r="D865" s="29"/>
      <c r="E865" s="29"/>
      <c r="F865" s="29"/>
      <c r="G865" s="29"/>
      <c r="H865" s="29"/>
      <c r="I865" s="29"/>
      <c r="J865" s="29"/>
      <c r="K865" s="29"/>
      <c r="L865" s="29"/>
    </row>
    <row r="866" spans="1:12" ht="14.25" customHeight="1" x14ac:dyDescent="0.3">
      <c r="A866" s="40"/>
      <c r="B866" s="29"/>
      <c r="C866" s="29"/>
      <c r="D866" s="29"/>
      <c r="E866" s="29"/>
      <c r="F866" s="29"/>
      <c r="G866" s="29"/>
      <c r="H866" s="29"/>
      <c r="I866" s="29"/>
      <c r="J866" s="29"/>
      <c r="K866" s="29"/>
      <c r="L866" s="29"/>
    </row>
    <row r="867" spans="1:12" ht="14.25" customHeight="1" x14ac:dyDescent="0.3">
      <c r="A867" s="40"/>
      <c r="B867" s="29"/>
      <c r="C867" s="29"/>
      <c r="D867" s="29"/>
      <c r="E867" s="29"/>
      <c r="F867" s="29"/>
      <c r="G867" s="29"/>
      <c r="H867" s="29"/>
      <c r="I867" s="29"/>
      <c r="J867" s="29"/>
      <c r="K867" s="29"/>
      <c r="L867" s="29"/>
    </row>
    <row r="868" spans="1:12" ht="14.25" customHeight="1" x14ac:dyDescent="0.3">
      <c r="A868" s="40"/>
      <c r="B868" s="29"/>
      <c r="C868" s="29"/>
      <c r="D868" s="29"/>
      <c r="E868" s="29"/>
      <c r="F868" s="29"/>
      <c r="G868" s="29"/>
      <c r="H868" s="29"/>
      <c r="I868" s="29"/>
      <c r="J868" s="29"/>
      <c r="K868" s="29"/>
      <c r="L868" s="29"/>
    </row>
    <row r="869" spans="1:12" ht="14.25" customHeight="1" x14ac:dyDescent="0.3">
      <c r="A869" s="40"/>
      <c r="B869" s="29"/>
      <c r="C869" s="29"/>
      <c r="D869" s="29"/>
      <c r="E869" s="29"/>
      <c r="F869" s="29"/>
      <c r="G869" s="29"/>
      <c r="H869" s="29"/>
      <c r="I869" s="29"/>
      <c r="J869" s="29"/>
      <c r="K869" s="29"/>
      <c r="L869" s="29"/>
    </row>
    <row r="870" spans="1:12" ht="14.25" customHeight="1" x14ac:dyDescent="0.3">
      <c r="A870" s="40"/>
      <c r="B870" s="29"/>
      <c r="C870" s="29"/>
      <c r="D870" s="29"/>
      <c r="E870" s="29"/>
      <c r="F870" s="29"/>
      <c r="G870" s="29"/>
      <c r="H870" s="29"/>
      <c r="I870" s="29"/>
      <c r="J870" s="29"/>
      <c r="K870" s="29"/>
      <c r="L870" s="29"/>
    </row>
    <row r="871" spans="1:12" ht="14.25" customHeight="1" x14ac:dyDescent="0.3">
      <c r="A871" s="40"/>
      <c r="B871" s="29"/>
      <c r="C871" s="29"/>
      <c r="D871" s="29"/>
      <c r="E871" s="29"/>
      <c r="F871" s="29"/>
      <c r="G871" s="29"/>
      <c r="H871" s="29"/>
      <c r="I871" s="29"/>
      <c r="J871" s="29"/>
      <c r="K871" s="29"/>
      <c r="L871" s="29"/>
    </row>
    <row r="872" spans="1:12" ht="14.25" customHeight="1" x14ac:dyDescent="0.3">
      <c r="A872" s="40"/>
      <c r="B872" s="29"/>
      <c r="C872" s="29"/>
      <c r="D872" s="29"/>
      <c r="E872" s="29"/>
      <c r="F872" s="29"/>
      <c r="G872" s="29"/>
      <c r="H872" s="29"/>
      <c r="I872" s="29"/>
      <c r="J872" s="29"/>
      <c r="K872" s="29"/>
      <c r="L872" s="29"/>
    </row>
    <row r="873" spans="1:12" ht="14.25" customHeight="1" x14ac:dyDescent="0.3">
      <c r="A873" s="40"/>
      <c r="B873" s="29"/>
      <c r="C873" s="29"/>
      <c r="D873" s="29"/>
      <c r="E873" s="29"/>
      <c r="F873" s="29"/>
      <c r="G873" s="29"/>
      <c r="H873" s="29"/>
      <c r="I873" s="29"/>
      <c r="J873" s="29"/>
      <c r="K873" s="29"/>
      <c r="L873" s="29"/>
    </row>
    <row r="874" spans="1:12" ht="14.25" customHeight="1" x14ac:dyDescent="0.3">
      <c r="A874" s="40"/>
      <c r="B874" s="29"/>
      <c r="C874" s="29"/>
      <c r="D874" s="29"/>
      <c r="E874" s="29"/>
      <c r="F874" s="29"/>
      <c r="G874" s="29"/>
      <c r="H874" s="29"/>
      <c r="I874" s="29"/>
      <c r="J874" s="29"/>
      <c r="K874" s="29"/>
      <c r="L874" s="29"/>
    </row>
    <row r="875" spans="1:12" ht="14.25" customHeight="1" x14ac:dyDescent="0.3">
      <c r="A875" s="40"/>
      <c r="B875" s="29"/>
      <c r="C875" s="29"/>
      <c r="D875" s="29"/>
      <c r="E875" s="29"/>
      <c r="F875" s="29"/>
      <c r="G875" s="29"/>
      <c r="H875" s="29"/>
      <c r="I875" s="29"/>
      <c r="J875" s="29"/>
      <c r="K875" s="29"/>
      <c r="L875" s="29"/>
    </row>
    <row r="876" spans="1:12" ht="14.25" customHeight="1" x14ac:dyDescent="0.3">
      <c r="A876" s="40"/>
      <c r="B876" s="29"/>
      <c r="C876" s="29"/>
      <c r="D876" s="29"/>
      <c r="E876" s="29"/>
      <c r="F876" s="29"/>
      <c r="G876" s="29"/>
      <c r="H876" s="29"/>
      <c r="I876" s="29"/>
      <c r="J876" s="29"/>
      <c r="K876" s="29"/>
      <c r="L876" s="29"/>
    </row>
    <row r="877" spans="1:12" ht="14.25" customHeight="1" x14ac:dyDescent="0.3">
      <c r="A877" s="40"/>
      <c r="B877" s="29"/>
      <c r="C877" s="29"/>
      <c r="D877" s="29"/>
      <c r="E877" s="29"/>
      <c r="F877" s="29"/>
      <c r="G877" s="29"/>
      <c r="H877" s="29"/>
      <c r="I877" s="29"/>
      <c r="J877" s="29"/>
      <c r="K877" s="29"/>
      <c r="L877" s="29"/>
    </row>
    <row r="878" spans="1:12" ht="14.25" customHeight="1" x14ac:dyDescent="0.3">
      <c r="A878" s="40"/>
      <c r="B878" s="29"/>
      <c r="C878" s="29"/>
      <c r="D878" s="29"/>
      <c r="E878" s="29"/>
      <c r="F878" s="29"/>
      <c r="G878" s="29"/>
      <c r="H878" s="29"/>
      <c r="I878" s="29"/>
      <c r="J878" s="29"/>
      <c r="K878" s="29"/>
      <c r="L878" s="29"/>
    </row>
    <row r="879" spans="1:12" ht="14.25" customHeight="1" x14ac:dyDescent="0.3">
      <c r="A879" s="40"/>
      <c r="B879" s="29"/>
      <c r="C879" s="29"/>
      <c r="D879" s="29"/>
      <c r="E879" s="29"/>
      <c r="F879" s="29"/>
      <c r="G879" s="29"/>
      <c r="H879" s="29"/>
      <c r="I879" s="29"/>
      <c r="J879" s="29"/>
      <c r="K879" s="29"/>
      <c r="L879" s="29"/>
    </row>
    <row r="880" spans="1:12" ht="14.25" customHeight="1" x14ac:dyDescent="0.3">
      <c r="A880" s="40"/>
      <c r="B880" s="29"/>
      <c r="C880" s="29"/>
      <c r="D880" s="29"/>
      <c r="E880" s="29"/>
      <c r="F880" s="29"/>
      <c r="G880" s="29"/>
      <c r="H880" s="29"/>
      <c r="I880" s="29"/>
      <c r="J880" s="29"/>
      <c r="K880" s="29"/>
      <c r="L880" s="29"/>
    </row>
    <row r="881" spans="1:12" ht="14.25" customHeight="1" x14ac:dyDescent="0.3">
      <c r="A881" s="40"/>
      <c r="B881" s="29"/>
      <c r="C881" s="29"/>
      <c r="D881" s="29"/>
      <c r="E881" s="29"/>
      <c r="F881" s="29"/>
      <c r="G881" s="29"/>
      <c r="H881" s="29"/>
      <c r="I881" s="29"/>
      <c r="J881" s="29"/>
      <c r="K881" s="29"/>
      <c r="L881" s="29"/>
    </row>
    <row r="882" spans="1:12" ht="14.25" customHeight="1" x14ac:dyDescent="0.3">
      <c r="A882" s="40"/>
      <c r="B882" s="29"/>
      <c r="C882" s="29"/>
      <c r="D882" s="29"/>
      <c r="E882" s="29"/>
      <c r="F882" s="29"/>
      <c r="G882" s="29"/>
      <c r="H882" s="29"/>
      <c r="I882" s="29"/>
      <c r="J882" s="29"/>
      <c r="K882" s="29"/>
      <c r="L882" s="29"/>
    </row>
    <row r="883" spans="1:12" ht="14.25" customHeight="1" x14ac:dyDescent="0.3">
      <c r="A883" s="40"/>
      <c r="B883" s="29"/>
      <c r="C883" s="29"/>
      <c r="D883" s="29"/>
      <c r="E883" s="29"/>
      <c r="F883" s="29"/>
      <c r="G883" s="29"/>
      <c r="H883" s="29"/>
      <c r="I883" s="29"/>
      <c r="J883" s="29"/>
      <c r="K883" s="29"/>
      <c r="L883" s="29"/>
    </row>
    <row r="884" spans="1:12" ht="14.25" customHeight="1" x14ac:dyDescent="0.3">
      <c r="A884" s="40"/>
      <c r="B884" s="29"/>
      <c r="C884" s="29"/>
      <c r="D884" s="29"/>
      <c r="E884" s="29"/>
      <c r="F884" s="29"/>
      <c r="G884" s="29"/>
      <c r="H884" s="29"/>
      <c r="I884" s="29"/>
      <c r="J884" s="29"/>
      <c r="K884" s="29"/>
      <c r="L884" s="29"/>
    </row>
    <row r="885" spans="1:12" ht="14.25" customHeight="1" x14ac:dyDescent="0.3">
      <c r="A885" s="40"/>
      <c r="B885" s="29"/>
      <c r="C885" s="29"/>
      <c r="D885" s="29"/>
      <c r="E885" s="29"/>
      <c r="F885" s="29"/>
      <c r="G885" s="29"/>
      <c r="H885" s="29"/>
      <c r="I885" s="29"/>
      <c r="J885" s="29"/>
      <c r="K885" s="29"/>
      <c r="L885" s="29"/>
    </row>
    <row r="886" spans="1:12" ht="14.25" customHeight="1" x14ac:dyDescent="0.3">
      <c r="A886" s="40"/>
      <c r="B886" s="29"/>
      <c r="C886" s="29"/>
      <c r="D886" s="29"/>
      <c r="E886" s="29"/>
      <c r="F886" s="29"/>
      <c r="G886" s="29"/>
      <c r="H886" s="29"/>
      <c r="I886" s="29"/>
      <c r="J886" s="29"/>
      <c r="K886" s="29"/>
      <c r="L886" s="29"/>
    </row>
    <row r="887" spans="1:12" ht="14.25" customHeight="1" x14ac:dyDescent="0.3">
      <c r="A887" s="40"/>
      <c r="B887" s="29"/>
      <c r="C887" s="29"/>
      <c r="D887" s="29"/>
      <c r="E887" s="29"/>
      <c r="F887" s="29"/>
      <c r="G887" s="29"/>
      <c r="H887" s="29"/>
      <c r="I887" s="29"/>
      <c r="J887" s="29"/>
      <c r="K887" s="29"/>
      <c r="L887" s="29"/>
    </row>
    <row r="888" spans="1:12" ht="14.25" customHeight="1" x14ac:dyDescent="0.3">
      <c r="A888" s="40"/>
      <c r="B888" s="29"/>
      <c r="C888" s="29"/>
      <c r="D888" s="29"/>
      <c r="E888" s="29"/>
      <c r="F888" s="29"/>
      <c r="G888" s="29"/>
      <c r="H888" s="29"/>
      <c r="I888" s="29"/>
      <c r="J888" s="29"/>
      <c r="K888" s="29"/>
      <c r="L888" s="29"/>
    </row>
    <row r="889" spans="1:12" ht="14.25" customHeight="1" x14ac:dyDescent="0.3">
      <c r="A889" s="40"/>
      <c r="B889" s="29"/>
      <c r="C889" s="29"/>
      <c r="D889" s="29"/>
      <c r="E889" s="29"/>
      <c r="F889" s="29"/>
      <c r="G889" s="29"/>
      <c r="H889" s="29"/>
      <c r="I889" s="29"/>
      <c r="J889" s="29"/>
      <c r="K889" s="29"/>
      <c r="L889" s="29"/>
    </row>
    <row r="890" spans="1:12" ht="14.25" customHeight="1" x14ac:dyDescent="0.3">
      <c r="A890" s="40"/>
      <c r="B890" s="29"/>
      <c r="C890" s="29"/>
      <c r="D890" s="29"/>
      <c r="E890" s="29"/>
      <c r="F890" s="29"/>
      <c r="G890" s="29"/>
      <c r="H890" s="29"/>
      <c r="I890" s="29"/>
      <c r="J890" s="29"/>
      <c r="K890" s="29"/>
      <c r="L890" s="29"/>
    </row>
    <row r="891" spans="1:12" ht="14.25" customHeight="1" x14ac:dyDescent="0.3">
      <c r="A891" s="40"/>
      <c r="B891" s="29"/>
      <c r="C891" s="29"/>
      <c r="D891" s="29"/>
      <c r="E891" s="29"/>
      <c r="F891" s="29"/>
      <c r="G891" s="29"/>
      <c r="H891" s="29"/>
      <c r="I891" s="29"/>
      <c r="J891" s="29"/>
      <c r="K891" s="29"/>
      <c r="L891" s="29"/>
    </row>
    <row r="892" spans="1:12" ht="14.25" customHeight="1" x14ac:dyDescent="0.3">
      <c r="A892" s="40"/>
      <c r="B892" s="29"/>
      <c r="C892" s="29"/>
      <c r="D892" s="29"/>
      <c r="E892" s="29"/>
      <c r="F892" s="29"/>
      <c r="G892" s="29"/>
      <c r="H892" s="29"/>
      <c r="I892" s="29"/>
      <c r="J892" s="29"/>
      <c r="K892" s="29"/>
      <c r="L892" s="29"/>
    </row>
    <row r="893" spans="1:12" ht="14.25" customHeight="1" x14ac:dyDescent="0.3">
      <c r="A893" s="40"/>
      <c r="B893" s="29"/>
      <c r="C893" s="29"/>
      <c r="D893" s="29"/>
      <c r="E893" s="29"/>
      <c r="F893" s="29"/>
      <c r="G893" s="29"/>
      <c r="H893" s="29"/>
      <c r="I893" s="29"/>
      <c r="J893" s="29"/>
      <c r="K893" s="29"/>
      <c r="L893" s="29"/>
    </row>
    <row r="894" spans="1:12" ht="14.25" customHeight="1" x14ac:dyDescent="0.3">
      <c r="A894" s="40"/>
      <c r="B894" s="29"/>
      <c r="C894" s="29"/>
      <c r="D894" s="29"/>
      <c r="E894" s="29"/>
      <c r="F894" s="29"/>
      <c r="G894" s="29"/>
      <c r="H894" s="29"/>
      <c r="I894" s="29"/>
      <c r="J894" s="29"/>
      <c r="K894" s="29"/>
      <c r="L894" s="29"/>
    </row>
    <row r="895" spans="1:12" ht="14.25" customHeight="1" x14ac:dyDescent="0.3">
      <c r="A895" s="40"/>
      <c r="B895" s="29"/>
      <c r="C895" s="29"/>
      <c r="D895" s="29"/>
      <c r="E895" s="29"/>
      <c r="F895" s="29"/>
      <c r="G895" s="29"/>
      <c r="H895" s="29"/>
      <c r="I895" s="29"/>
      <c r="J895" s="29"/>
      <c r="K895" s="29"/>
      <c r="L895" s="29"/>
    </row>
    <row r="896" spans="1:12" ht="14.25" customHeight="1" x14ac:dyDescent="0.3">
      <c r="A896" s="40"/>
      <c r="B896" s="29"/>
      <c r="C896" s="29"/>
      <c r="D896" s="29"/>
      <c r="E896" s="29"/>
      <c r="F896" s="29"/>
      <c r="G896" s="29"/>
      <c r="H896" s="29"/>
      <c r="I896" s="29"/>
      <c r="J896" s="29"/>
      <c r="K896" s="29"/>
      <c r="L896" s="29"/>
    </row>
    <row r="897" spans="1:12" ht="14.25" customHeight="1" x14ac:dyDescent="0.3">
      <c r="A897" s="40"/>
      <c r="B897" s="29"/>
      <c r="C897" s="29"/>
      <c r="D897" s="29"/>
      <c r="E897" s="29"/>
      <c r="F897" s="29"/>
      <c r="G897" s="29"/>
      <c r="H897" s="29"/>
      <c r="I897" s="29"/>
      <c r="J897" s="29"/>
      <c r="K897" s="29"/>
      <c r="L897" s="29"/>
    </row>
    <row r="898" spans="1:12" ht="14.25" customHeight="1" x14ac:dyDescent="0.3">
      <c r="A898" s="40"/>
      <c r="B898" s="29"/>
      <c r="C898" s="29"/>
      <c r="D898" s="29"/>
      <c r="E898" s="29"/>
      <c r="F898" s="29"/>
      <c r="G898" s="29"/>
      <c r="H898" s="29"/>
      <c r="I898" s="29"/>
      <c r="J898" s="29"/>
      <c r="K898" s="29"/>
      <c r="L898" s="29"/>
    </row>
    <row r="899" spans="1:12" ht="14.25" customHeight="1" x14ac:dyDescent="0.3">
      <c r="A899" s="40"/>
      <c r="B899" s="29"/>
      <c r="C899" s="29"/>
      <c r="D899" s="29"/>
      <c r="E899" s="29"/>
      <c r="F899" s="29"/>
      <c r="G899" s="29"/>
      <c r="H899" s="29"/>
      <c r="I899" s="29"/>
      <c r="J899" s="29"/>
      <c r="K899" s="29"/>
      <c r="L899" s="29"/>
    </row>
    <row r="900" spans="1:12" ht="14.25" customHeight="1" x14ac:dyDescent="0.3">
      <c r="A900" s="40"/>
      <c r="B900" s="29"/>
      <c r="C900" s="29"/>
      <c r="D900" s="29"/>
      <c r="E900" s="29"/>
      <c r="F900" s="29"/>
      <c r="G900" s="29"/>
      <c r="H900" s="29"/>
      <c r="I900" s="29"/>
      <c r="J900" s="29"/>
      <c r="K900" s="29"/>
      <c r="L900" s="29"/>
    </row>
    <row r="901" spans="1:12" ht="14.25" customHeight="1" x14ac:dyDescent="0.3">
      <c r="A901" s="40"/>
      <c r="B901" s="29"/>
      <c r="C901" s="29"/>
      <c r="D901" s="29"/>
      <c r="E901" s="29"/>
      <c r="F901" s="29"/>
      <c r="G901" s="29"/>
      <c r="H901" s="29"/>
      <c r="I901" s="29"/>
      <c r="J901" s="29"/>
      <c r="K901" s="29"/>
      <c r="L901" s="29"/>
    </row>
    <row r="902" spans="1:12" ht="14.25" customHeight="1" x14ac:dyDescent="0.3">
      <c r="A902" s="40"/>
      <c r="B902" s="29"/>
      <c r="C902" s="29"/>
      <c r="D902" s="29"/>
      <c r="E902" s="29"/>
      <c r="F902" s="29"/>
      <c r="G902" s="29"/>
      <c r="H902" s="29"/>
      <c r="I902" s="29"/>
      <c r="J902" s="29"/>
      <c r="K902" s="29"/>
      <c r="L902" s="29"/>
    </row>
    <row r="903" spans="1:12" ht="14.25" customHeight="1" x14ac:dyDescent="0.3">
      <c r="A903" s="40"/>
      <c r="B903" s="29"/>
      <c r="C903" s="29"/>
      <c r="D903" s="29"/>
      <c r="E903" s="29"/>
      <c r="F903" s="29"/>
      <c r="G903" s="29"/>
      <c r="H903" s="29"/>
      <c r="I903" s="29"/>
      <c r="J903" s="29"/>
      <c r="K903" s="29"/>
      <c r="L903" s="29"/>
    </row>
    <row r="904" spans="1:12" ht="14.25" customHeight="1" x14ac:dyDescent="0.3">
      <c r="A904" s="40"/>
      <c r="B904" s="29"/>
      <c r="C904" s="29"/>
      <c r="D904" s="29"/>
      <c r="E904" s="29"/>
      <c r="F904" s="29"/>
      <c r="G904" s="29"/>
      <c r="H904" s="29"/>
      <c r="I904" s="29"/>
      <c r="J904" s="29"/>
      <c r="K904" s="29"/>
      <c r="L904" s="29"/>
    </row>
    <row r="905" spans="1:12" ht="14.25" customHeight="1" x14ac:dyDescent="0.3">
      <c r="A905" s="40"/>
      <c r="B905" s="29"/>
      <c r="C905" s="29"/>
      <c r="D905" s="29"/>
      <c r="E905" s="29"/>
      <c r="F905" s="29"/>
      <c r="G905" s="29"/>
      <c r="H905" s="29"/>
      <c r="I905" s="29"/>
      <c r="J905" s="29"/>
      <c r="K905" s="29"/>
      <c r="L905" s="29"/>
    </row>
    <row r="906" spans="1:12" ht="14.25" customHeight="1" x14ac:dyDescent="0.3">
      <c r="A906" s="40"/>
      <c r="B906" s="29"/>
      <c r="C906" s="29"/>
      <c r="D906" s="29"/>
      <c r="E906" s="29"/>
      <c r="F906" s="29"/>
      <c r="G906" s="29"/>
      <c r="H906" s="29"/>
      <c r="I906" s="29"/>
      <c r="J906" s="29"/>
      <c r="K906" s="29"/>
      <c r="L906" s="29"/>
    </row>
    <row r="907" spans="1:12" ht="14.25" customHeight="1" x14ac:dyDescent="0.3">
      <c r="A907" s="40"/>
      <c r="B907" s="29"/>
      <c r="C907" s="29"/>
      <c r="D907" s="29"/>
      <c r="E907" s="29"/>
      <c r="F907" s="29"/>
      <c r="G907" s="29"/>
      <c r="H907" s="29"/>
      <c r="I907" s="29"/>
      <c r="J907" s="29"/>
      <c r="K907" s="29"/>
      <c r="L907" s="29"/>
    </row>
    <row r="908" spans="1:12" ht="14.25" customHeight="1" x14ac:dyDescent="0.3">
      <c r="A908" s="40"/>
      <c r="B908" s="29"/>
      <c r="C908" s="29"/>
      <c r="D908" s="29"/>
      <c r="E908" s="29"/>
      <c r="F908" s="29"/>
      <c r="G908" s="29"/>
      <c r="H908" s="29"/>
      <c r="I908" s="29"/>
      <c r="J908" s="29"/>
      <c r="K908" s="29"/>
      <c r="L908" s="29"/>
    </row>
    <row r="909" spans="1:12" ht="14.25" customHeight="1" x14ac:dyDescent="0.3">
      <c r="A909" s="40"/>
      <c r="B909" s="29"/>
      <c r="C909" s="29"/>
      <c r="D909" s="29"/>
      <c r="E909" s="29"/>
      <c r="F909" s="29"/>
      <c r="G909" s="29"/>
      <c r="H909" s="29"/>
      <c r="I909" s="29"/>
      <c r="J909" s="29"/>
      <c r="K909" s="29"/>
      <c r="L909" s="29"/>
    </row>
    <row r="910" spans="1:12" ht="14.25" customHeight="1" x14ac:dyDescent="0.3">
      <c r="A910" s="40"/>
      <c r="B910" s="29"/>
      <c r="C910" s="29"/>
      <c r="D910" s="29"/>
      <c r="E910" s="29"/>
      <c r="F910" s="29"/>
      <c r="G910" s="29"/>
      <c r="H910" s="29"/>
      <c r="I910" s="29"/>
      <c r="J910" s="29"/>
      <c r="K910" s="29"/>
      <c r="L910" s="29"/>
    </row>
    <row r="911" spans="1:12" ht="14.25" customHeight="1" x14ac:dyDescent="0.3">
      <c r="A911" s="40"/>
      <c r="B911" s="29"/>
      <c r="C911" s="29"/>
      <c r="D911" s="29"/>
      <c r="E911" s="29"/>
      <c r="F911" s="29"/>
      <c r="G911" s="29"/>
      <c r="H911" s="29"/>
      <c r="I911" s="29"/>
      <c r="J911" s="29"/>
      <c r="K911" s="29"/>
      <c r="L911" s="29"/>
    </row>
    <row r="912" spans="1:12" ht="14.25" customHeight="1" x14ac:dyDescent="0.3">
      <c r="A912" s="40"/>
      <c r="B912" s="29"/>
      <c r="C912" s="29"/>
      <c r="D912" s="29"/>
      <c r="E912" s="29"/>
      <c r="F912" s="29"/>
      <c r="G912" s="29"/>
      <c r="H912" s="29"/>
      <c r="I912" s="29"/>
      <c r="J912" s="29"/>
      <c r="K912" s="29"/>
      <c r="L912" s="29"/>
    </row>
    <row r="913" spans="1:12" ht="14.25" customHeight="1" x14ac:dyDescent="0.3">
      <c r="A913" s="40"/>
      <c r="B913" s="29"/>
      <c r="C913" s="29"/>
      <c r="D913" s="29"/>
      <c r="E913" s="29"/>
      <c r="F913" s="29"/>
      <c r="G913" s="29"/>
      <c r="H913" s="29"/>
      <c r="I913" s="29"/>
      <c r="J913" s="29"/>
      <c r="K913" s="29"/>
      <c r="L913" s="29"/>
    </row>
    <row r="914" spans="1:12" ht="14.25" customHeight="1" x14ac:dyDescent="0.3">
      <c r="A914" s="40"/>
      <c r="B914" s="29"/>
      <c r="C914" s="29"/>
      <c r="D914" s="29"/>
      <c r="E914" s="29"/>
      <c r="F914" s="29"/>
      <c r="G914" s="29"/>
      <c r="H914" s="29"/>
      <c r="I914" s="29"/>
      <c r="J914" s="29"/>
      <c r="K914" s="29"/>
      <c r="L914" s="29"/>
    </row>
    <row r="915" spans="1:12" ht="14.25" customHeight="1" x14ac:dyDescent="0.3">
      <c r="A915" s="40"/>
      <c r="B915" s="29"/>
      <c r="C915" s="29"/>
      <c r="D915" s="29"/>
      <c r="E915" s="29"/>
      <c r="F915" s="29"/>
      <c r="G915" s="29"/>
      <c r="H915" s="29"/>
      <c r="I915" s="29"/>
      <c r="J915" s="29"/>
      <c r="K915" s="29"/>
      <c r="L915" s="29"/>
    </row>
    <row r="916" spans="1:12" ht="14.25" customHeight="1" x14ac:dyDescent="0.3">
      <c r="A916" s="40"/>
      <c r="B916" s="29"/>
      <c r="C916" s="29"/>
      <c r="D916" s="29"/>
      <c r="E916" s="29"/>
      <c r="F916" s="29"/>
      <c r="G916" s="29"/>
      <c r="H916" s="29"/>
      <c r="I916" s="29"/>
      <c r="J916" s="29"/>
      <c r="K916" s="29"/>
      <c r="L916" s="29"/>
    </row>
    <row r="917" spans="1:12" ht="14.25" customHeight="1" x14ac:dyDescent="0.3">
      <c r="A917" s="40"/>
      <c r="B917" s="29"/>
      <c r="C917" s="29"/>
      <c r="D917" s="29"/>
      <c r="E917" s="29"/>
      <c r="F917" s="29"/>
      <c r="G917" s="29"/>
      <c r="H917" s="29"/>
      <c r="I917" s="29"/>
      <c r="J917" s="29"/>
      <c r="K917" s="29"/>
      <c r="L917" s="29"/>
    </row>
    <row r="918" spans="1:12" ht="14.25" customHeight="1" x14ac:dyDescent="0.3">
      <c r="A918" s="40"/>
      <c r="B918" s="29"/>
      <c r="C918" s="29"/>
      <c r="D918" s="29"/>
      <c r="E918" s="29"/>
      <c r="F918" s="29"/>
      <c r="G918" s="29"/>
      <c r="H918" s="29"/>
      <c r="I918" s="29"/>
      <c r="J918" s="29"/>
      <c r="K918" s="29"/>
      <c r="L918" s="29"/>
    </row>
    <row r="919" spans="1:12" ht="14.25" customHeight="1" x14ac:dyDescent="0.3">
      <c r="A919" s="40"/>
      <c r="B919" s="29"/>
      <c r="C919" s="29"/>
      <c r="D919" s="29"/>
      <c r="E919" s="29"/>
      <c r="F919" s="29"/>
      <c r="G919" s="29"/>
      <c r="H919" s="29"/>
      <c r="I919" s="29"/>
      <c r="J919" s="29"/>
      <c r="K919" s="29"/>
      <c r="L919" s="29"/>
    </row>
    <row r="920" spans="1:12" ht="14.25" customHeight="1" x14ac:dyDescent="0.3">
      <c r="A920" s="40"/>
      <c r="B920" s="29"/>
      <c r="C920" s="29"/>
      <c r="D920" s="29"/>
      <c r="E920" s="29"/>
      <c r="F920" s="29"/>
      <c r="G920" s="29"/>
      <c r="H920" s="29"/>
      <c r="I920" s="29"/>
      <c r="J920" s="29"/>
      <c r="K920" s="29"/>
      <c r="L920" s="29"/>
    </row>
    <row r="921" spans="1:12" ht="14.25" customHeight="1" x14ac:dyDescent="0.3">
      <c r="A921" s="40"/>
      <c r="B921" s="29"/>
      <c r="C921" s="29"/>
      <c r="D921" s="29"/>
      <c r="E921" s="29"/>
      <c r="F921" s="29"/>
      <c r="G921" s="29"/>
      <c r="H921" s="29"/>
      <c r="I921" s="29"/>
      <c r="J921" s="29"/>
      <c r="K921" s="29"/>
      <c r="L921" s="29"/>
    </row>
    <row r="922" spans="1:12" ht="14.25" customHeight="1" x14ac:dyDescent="0.3">
      <c r="A922" s="40"/>
      <c r="B922" s="29"/>
      <c r="C922" s="29"/>
      <c r="D922" s="29"/>
      <c r="E922" s="29"/>
      <c r="F922" s="29"/>
      <c r="G922" s="29"/>
      <c r="H922" s="29"/>
      <c r="I922" s="29"/>
      <c r="J922" s="29"/>
      <c r="K922" s="29"/>
      <c r="L922" s="29"/>
    </row>
    <row r="923" spans="1:12" ht="14.25" customHeight="1" x14ac:dyDescent="0.3">
      <c r="A923" s="40"/>
      <c r="B923" s="29"/>
      <c r="C923" s="29"/>
      <c r="D923" s="29"/>
      <c r="E923" s="29"/>
      <c r="F923" s="29"/>
      <c r="G923" s="29"/>
      <c r="H923" s="29"/>
      <c r="I923" s="29"/>
      <c r="J923" s="29"/>
      <c r="K923" s="29"/>
      <c r="L923" s="29"/>
    </row>
    <row r="924" spans="1:12" ht="14.25" customHeight="1" x14ac:dyDescent="0.3">
      <c r="A924" s="40"/>
      <c r="B924" s="29"/>
      <c r="C924" s="29"/>
      <c r="D924" s="29"/>
      <c r="E924" s="29"/>
      <c r="F924" s="29"/>
      <c r="G924" s="29"/>
      <c r="H924" s="29"/>
      <c r="I924" s="29"/>
      <c r="J924" s="29"/>
      <c r="K924" s="29"/>
      <c r="L924" s="29"/>
    </row>
    <row r="925" spans="1:12" ht="14.25" customHeight="1" x14ac:dyDescent="0.3">
      <c r="A925" s="40"/>
      <c r="B925" s="29"/>
      <c r="C925" s="29"/>
      <c r="D925" s="29"/>
      <c r="E925" s="29"/>
      <c r="F925" s="29"/>
      <c r="G925" s="29"/>
      <c r="H925" s="29"/>
      <c r="I925" s="29"/>
      <c r="J925" s="29"/>
      <c r="K925" s="29"/>
      <c r="L925" s="29"/>
    </row>
    <row r="926" spans="1:12" ht="14.25" customHeight="1" x14ac:dyDescent="0.3">
      <c r="A926" s="40"/>
      <c r="B926" s="29"/>
      <c r="C926" s="29"/>
      <c r="D926" s="29"/>
      <c r="E926" s="29"/>
      <c r="F926" s="29"/>
      <c r="G926" s="29"/>
      <c r="H926" s="29"/>
      <c r="I926" s="29"/>
      <c r="J926" s="29"/>
      <c r="K926" s="29"/>
      <c r="L926" s="29"/>
    </row>
    <row r="927" spans="1:12" ht="14.25" customHeight="1" x14ac:dyDescent="0.3">
      <c r="A927" s="40"/>
      <c r="B927" s="29"/>
      <c r="C927" s="29"/>
      <c r="D927" s="29"/>
      <c r="E927" s="29"/>
      <c r="F927" s="29"/>
      <c r="G927" s="29"/>
      <c r="H927" s="29"/>
      <c r="I927" s="29"/>
      <c r="J927" s="29"/>
      <c r="K927" s="29"/>
      <c r="L927" s="29"/>
    </row>
    <row r="928" spans="1:12" ht="14.25" customHeight="1" x14ac:dyDescent="0.3">
      <c r="A928" s="40"/>
      <c r="B928" s="29"/>
      <c r="C928" s="29"/>
      <c r="D928" s="29"/>
      <c r="E928" s="29"/>
      <c r="F928" s="29"/>
      <c r="G928" s="29"/>
      <c r="H928" s="29"/>
      <c r="I928" s="29"/>
      <c r="J928" s="29"/>
      <c r="K928" s="29"/>
      <c r="L928" s="29"/>
    </row>
    <row r="929" spans="1:12" ht="14.25" customHeight="1" x14ac:dyDescent="0.3">
      <c r="A929" s="40"/>
      <c r="B929" s="29"/>
      <c r="C929" s="29"/>
      <c r="D929" s="29"/>
      <c r="E929" s="29"/>
      <c r="F929" s="29"/>
      <c r="G929" s="29"/>
      <c r="H929" s="29"/>
      <c r="I929" s="29"/>
      <c r="J929" s="29"/>
      <c r="K929" s="29"/>
      <c r="L929" s="29"/>
    </row>
    <row r="930" spans="1:12" ht="14.25" customHeight="1" x14ac:dyDescent="0.3">
      <c r="A930" s="40"/>
      <c r="B930" s="29"/>
      <c r="C930" s="29"/>
      <c r="D930" s="29"/>
      <c r="E930" s="29"/>
      <c r="F930" s="29"/>
      <c r="G930" s="29"/>
      <c r="H930" s="29"/>
      <c r="I930" s="29"/>
      <c r="J930" s="29"/>
      <c r="K930" s="29"/>
      <c r="L930" s="29"/>
    </row>
    <row r="931" spans="1:12" ht="14.25" customHeight="1" x14ac:dyDescent="0.3">
      <c r="A931" s="40"/>
      <c r="B931" s="29"/>
      <c r="C931" s="29"/>
      <c r="D931" s="29"/>
      <c r="E931" s="29"/>
      <c r="F931" s="29"/>
      <c r="G931" s="29"/>
      <c r="H931" s="29"/>
      <c r="I931" s="29"/>
      <c r="J931" s="29"/>
      <c r="K931" s="29"/>
      <c r="L931" s="29"/>
    </row>
    <row r="932" spans="1:12" ht="14.25" customHeight="1" x14ac:dyDescent="0.3">
      <c r="A932" s="40"/>
      <c r="B932" s="29"/>
      <c r="C932" s="29"/>
      <c r="D932" s="29"/>
      <c r="E932" s="29"/>
      <c r="F932" s="29"/>
      <c r="G932" s="29"/>
      <c r="H932" s="29"/>
      <c r="I932" s="29"/>
      <c r="J932" s="29"/>
      <c r="K932" s="29"/>
      <c r="L932" s="29"/>
    </row>
    <row r="933" spans="1:12" ht="14.25" customHeight="1" x14ac:dyDescent="0.3">
      <c r="A933" s="40"/>
      <c r="B933" s="29"/>
      <c r="C933" s="29"/>
      <c r="D933" s="29"/>
      <c r="E933" s="29"/>
      <c r="F933" s="29"/>
      <c r="G933" s="29"/>
      <c r="H933" s="29"/>
      <c r="I933" s="29"/>
      <c r="J933" s="29"/>
      <c r="K933" s="29"/>
      <c r="L933" s="29"/>
    </row>
    <row r="934" spans="1:12" ht="14.25" customHeight="1" x14ac:dyDescent="0.3">
      <c r="A934" s="40"/>
      <c r="B934" s="29"/>
      <c r="C934" s="29"/>
      <c r="D934" s="29"/>
      <c r="E934" s="29"/>
      <c r="F934" s="29"/>
      <c r="G934" s="29"/>
      <c r="H934" s="29"/>
      <c r="I934" s="29"/>
      <c r="J934" s="29"/>
      <c r="K934" s="29"/>
      <c r="L934" s="29"/>
    </row>
    <row r="935" spans="1:12" ht="14.25" customHeight="1" x14ac:dyDescent="0.3">
      <c r="A935" s="40"/>
      <c r="B935" s="29"/>
      <c r="C935" s="29"/>
      <c r="D935" s="29"/>
      <c r="E935" s="29"/>
      <c r="F935" s="29"/>
      <c r="G935" s="29"/>
      <c r="H935" s="29"/>
      <c r="I935" s="29"/>
      <c r="J935" s="29"/>
      <c r="K935" s="29"/>
      <c r="L935" s="29"/>
    </row>
    <row r="936" spans="1:12" ht="14.25" customHeight="1" x14ac:dyDescent="0.3">
      <c r="A936" s="40"/>
      <c r="B936" s="29"/>
      <c r="C936" s="29"/>
      <c r="D936" s="29"/>
      <c r="E936" s="29"/>
      <c r="F936" s="29"/>
      <c r="G936" s="29"/>
      <c r="H936" s="29"/>
      <c r="I936" s="29"/>
      <c r="J936" s="29"/>
      <c r="K936" s="29"/>
      <c r="L936" s="29"/>
    </row>
    <row r="937" spans="1:12" ht="14.25" customHeight="1" x14ac:dyDescent="0.3">
      <c r="A937" s="40"/>
      <c r="B937" s="29"/>
      <c r="C937" s="29"/>
      <c r="D937" s="29"/>
      <c r="E937" s="29"/>
      <c r="F937" s="29"/>
      <c r="G937" s="29"/>
      <c r="H937" s="29"/>
      <c r="I937" s="29"/>
      <c r="J937" s="29"/>
      <c r="K937" s="29"/>
      <c r="L937" s="29"/>
    </row>
    <row r="938" spans="1:12" ht="14.25" customHeight="1" x14ac:dyDescent="0.3">
      <c r="A938" s="40"/>
      <c r="B938" s="29"/>
      <c r="C938" s="29"/>
      <c r="D938" s="29"/>
      <c r="E938" s="29"/>
      <c r="F938" s="29"/>
      <c r="G938" s="29"/>
      <c r="H938" s="29"/>
      <c r="I938" s="29"/>
      <c r="J938" s="29"/>
      <c r="K938" s="29"/>
      <c r="L938" s="29"/>
    </row>
    <row r="939" spans="1:12" ht="14.25" customHeight="1" x14ac:dyDescent="0.3">
      <c r="A939" s="40"/>
      <c r="B939" s="29"/>
      <c r="C939" s="29"/>
      <c r="D939" s="29"/>
      <c r="E939" s="29"/>
      <c r="F939" s="29"/>
      <c r="G939" s="29"/>
      <c r="H939" s="29"/>
      <c r="I939" s="29"/>
      <c r="J939" s="29"/>
      <c r="K939" s="29"/>
      <c r="L939" s="29"/>
    </row>
    <row r="940" spans="1:12" ht="14.25" customHeight="1" x14ac:dyDescent="0.3">
      <c r="A940" s="40"/>
      <c r="B940" s="29"/>
      <c r="C940" s="29"/>
      <c r="D940" s="29"/>
      <c r="E940" s="29"/>
      <c r="F940" s="29"/>
      <c r="G940" s="29"/>
      <c r="H940" s="29"/>
      <c r="I940" s="29"/>
      <c r="J940" s="29"/>
      <c r="K940" s="29"/>
      <c r="L940" s="29"/>
    </row>
    <row r="941" spans="1:12" ht="14.25" customHeight="1" x14ac:dyDescent="0.3">
      <c r="A941" s="40"/>
      <c r="B941" s="29"/>
      <c r="C941" s="29"/>
      <c r="D941" s="29"/>
      <c r="E941" s="29"/>
      <c r="F941" s="29"/>
      <c r="G941" s="29"/>
      <c r="H941" s="29"/>
      <c r="I941" s="29"/>
      <c r="J941" s="29"/>
      <c r="K941" s="29"/>
      <c r="L941" s="29"/>
    </row>
    <row r="942" spans="1:12" ht="14.25" customHeight="1" x14ac:dyDescent="0.3">
      <c r="A942" s="40"/>
      <c r="B942" s="29"/>
      <c r="C942" s="29"/>
      <c r="D942" s="29"/>
      <c r="E942" s="29"/>
      <c r="F942" s="29"/>
      <c r="G942" s="29"/>
      <c r="H942" s="29"/>
      <c r="I942" s="29"/>
      <c r="J942" s="29"/>
      <c r="K942" s="29"/>
      <c r="L942" s="29"/>
    </row>
    <row r="943" spans="1:12" ht="14.25" customHeight="1" x14ac:dyDescent="0.3">
      <c r="A943" s="40"/>
      <c r="B943" s="29"/>
      <c r="C943" s="29"/>
      <c r="D943" s="29"/>
      <c r="E943" s="29"/>
      <c r="F943" s="29"/>
      <c r="G943" s="29"/>
      <c r="H943" s="29"/>
      <c r="I943" s="29"/>
      <c r="J943" s="29"/>
      <c r="K943" s="29"/>
      <c r="L943" s="29"/>
    </row>
    <row r="944" spans="1:12" ht="14.25" customHeight="1" x14ac:dyDescent="0.3">
      <c r="A944" s="40"/>
      <c r="B944" s="29"/>
      <c r="C944" s="29"/>
      <c r="D944" s="29"/>
      <c r="E944" s="29"/>
      <c r="F944" s="29"/>
      <c r="G944" s="29"/>
      <c r="H944" s="29"/>
      <c r="I944" s="29"/>
      <c r="J944" s="29"/>
      <c r="K944" s="29"/>
      <c r="L944" s="29"/>
    </row>
    <row r="945" spans="1:12" ht="14.25" customHeight="1" x14ac:dyDescent="0.3">
      <c r="A945" s="40"/>
      <c r="B945" s="29"/>
      <c r="C945" s="29"/>
      <c r="D945" s="29"/>
      <c r="E945" s="29"/>
      <c r="F945" s="29"/>
      <c r="G945" s="29"/>
      <c r="H945" s="29"/>
      <c r="I945" s="29"/>
      <c r="J945" s="29"/>
      <c r="K945" s="29"/>
      <c r="L945" s="29"/>
    </row>
    <row r="946" spans="1:12" ht="14.25" customHeight="1" x14ac:dyDescent="0.3">
      <c r="A946" s="40"/>
      <c r="B946" s="29"/>
      <c r="C946" s="29"/>
      <c r="D946" s="29"/>
      <c r="E946" s="29"/>
      <c r="F946" s="29"/>
      <c r="G946" s="29"/>
      <c r="H946" s="29"/>
      <c r="I946" s="29"/>
      <c r="J946" s="29"/>
      <c r="K946" s="29"/>
      <c r="L946" s="29"/>
    </row>
    <row r="947" spans="1:12" ht="14.25" customHeight="1" x14ac:dyDescent="0.3">
      <c r="A947" s="40"/>
      <c r="B947" s="29"/>
      <c r="C947" s="29"/>
      <c r="D947" s="29"/>
      <c r="E947" s="29"/>
      <c r="F947" s="29"/>
      <c r="G947" s="29"/>
      <c r="H947" s="29"/>
      <c r="I947" s="29"/>
      <c r="J947" s="29"/>
      <c r="K947" s="29"/>
      <c r="L947" s="29"/>
    </row>
    <row r="948" spans="1:12" ht="14.25" customHeight="1" x14ac:dyDescent="0.3">
      <c r="A948" s="40"/>
      <c r="B948" s="29"/>
      <c r="C948" s="29"/>
      <c r="D948" s="29"/>
      <c r="E948" s="29"/>
      <c r="F948" s="29"/>
      <c r="G948" s="29"/>
      <c r="H948" s="29"/>
      <c r="I948" s="29"/>
      <c r="J948" s="29"/>
      <c r="K948" s="29"/>
      <c r="L948" s="29"/>
    </row>
    <row r="949" spans="1:12" ht="14.25" customHeight="1" x14ac:dyDescent="0.3">
      <c r="A949" s="40"/>
      <c r="B949" s="29"/>
      <c r="C949" s="29"/>
      <c r="D949" s="29"/>
      <c r="E949" s="29"/>
      <c r="F949" s="29"/>
      <c r="G949" s="29"/>
      <c r="H949" s="29"/>
      <c r="I949" s="29"/>
      <c r="J949" s="29"/>
      <c r="K949" s="29"/>
      <c r="L949" s="29"/>
    </row>
    <row r="950" spans="1:12" ht="14.25" customHeight="1" x14ac:dyDescent="0.3">
      <c r="A950" s="40"/>
      <c r="B950" s="29"/>
      <c r="C950" s="29"/>
      <c r="D950" s="29"/>
      <c r="E950" s="29"/>
      <c r="F950" s="29"/>
      <c r="G950" s="29"/>
      <c r="H950" s="29"/>
      <c r="I950" s="29"/>
      <c r="J950" s="29"/>
      <c r="K950" s="29"/>
      <c r="L950" s="29"/>
    </row>
    <row r="951" spans="1:12" ht="14.25" customHeight="1" x14ac:dyDescent="0.3">
      <c r="A951" s="40"/>
      <c r="B951" s="29"/>
      <c r="C951" s="29"/>
      <c r="D951" s="29"/>
      <c r="E951" s="29"/>
      <c r="F951" s="29"/>
      <c r="G951" s="29"/>
      <c r="H951" s="29"/>
      <c r="I951" s="29"/>
      <c r="J951" s="29"/>
      <c r="K951" s="29"/>
      <c r="L951" s="29"/>
    </row>
    <row r="952" spans="1:12" ht="14.25" customHeight="1" x14ac:dyDescent="0.3">
      <c r="A952" s="40"/>
      <c r="B952" s="29"/>
      <c r="C952" s="29"/>
      <c r="D952" s="29"/>
      <c r="E952" s="29"/>
      <c r="F952" s="29"/>
      <c r="G952" s="29"/>
      <c r="H952" s="29"/>
      <c r="I952" s="29"/>
      <c r="J952" s="29"/>
      <c r="K952" s="29"/>
      <c r="L952" s="29"/>
    </row>
    <row r="953" spans="1:12" ht="14.25" customHeight="1" x14ac:dyDescent="0.3">
      <c r="A953" s="40"/>
      <c r="B953" s="29"/>
      <c r="C953" s="29"/>
      <c r="D953" s="29"/>
      <c r="E953" s="29"/>
      <c r="F953" s="29"/>
      <c r="G953" s="29"/>
      <c r="H953" s="29"/>
      <c r="I953" s="29"/>
      <c r="J953" s="29"/>
      <c r="K953" s="29"/>
      <c r="L953" s="29"/>
    </row>
    <row r="954" spans="1:12" ht="14.25" customHeight="1" x14ac:dyDescent="0.3">
      <c r="A954" s="40"/>
      <c r="B954" s="29"/>
      <c r="C954" s="29"/>
      <c r="D954" s="29"/>
      <c r="E954" s="29"/>
      <c r="F954" s="29"/>
      <c r="G954" s="29"/>
      <c r="H954" s="29"/>
      <c r="I954" s="29"/>
      <c r="J954" s="29"/>
      <c r="K954" s="29"/>
      <c r="L954" s="29"/>
    </row>
    <row r="955" spans="1:12" ht="14.25" customHeight="1" x14ac:dyDescent="0.3">
      <c r="A955" s="40"/>
      <c r="B955" s="29"/>
      <c r="C955" s="29"/>
      <c r="D955" s="29"/>
      <c r="E955" s="29"/>
      <c r="F955" s="29"/>
      <c r="G955" s="29"/>
      <c r="H955" s="29"/>
      <c r="I955" s="29"/>
      <c r="J955" s="29"/>
      <c r="K955" s="29"/>
      <c r="L955" s="29"/>
    </row>
    <row r="956" spans="1:12" ht="14.25" customHeight="1" x14ac:dyDescent="0.3">
      <c r="A956" s="40"/>
      <c r="B956" s="29"/>
      <c r="C956" s="29"/>
      <c r="D956" s="29"/>
      <c r="E956" s="29"/>
      <c r="F956" s="29"/>
      <c r="G956" s="29"/>
      <c r="H956" s="29"/>
      <c r="I956" s="29"/>
      <c r="J956" s="29"/>
      <c r="K956" s="29"/>
      <c r="L956" s="29"/>
    </row>
    <row r="957" spans="1:12" ht="14.25" customHeight="1" x14ac:dyDescent="0.3">
      <c r="A957" s="40"/>
      <c r="B957" s="29"/>
      <c r="C957" s="29"/>
      <c r="D957" s="29"/>
      <c r="E957" s="29"/>
      <c r="F957" s="29"/>
      <c r="G957" s="29"/>
      <c r="H957" s="29"/>
      <c r="I957" s="29"/>
      <c r="J957" s="29"/>
      <c r="K957" s="29"/>
      <c r="L957" s="29"/>
    </row>
    <row r="958" spans="1:12" ht="14.25" customHeight="1" x14ac:dyDescent="0.3">
      <c r="A958" s="40"/>
      <c r="B958" s="29"/>
      <c r="C958" s="29"/>
      <c r="D958" s="29"/>
      <c r="E958" s="29"/>
      <c r="F958" s="29"/>
      <c r="G958" s="29"/>
      <c r="H958" s="29"/>
      <c r="I958" s="29"/>
      <c r="J958" s="29"/>
      <c r="K958" s="29"/>
      <c r="L958" s="29"/>
    </row>
    <row r="959" spans="1:12" ht="14.25" customHeight="1" x14ac:dyDescent="0.3">
      <c r="A959" s="40"/>
      <c r="B959" s="29"/>
      <c r="C959" s="29"/>
      <c r="D959" s="29"/>
      <c r="E959" s="29"/>
      <c r="F959" s="29"/>
      <c r="G959" s="29"/>
      <c r="H959" s="29"/>
      <c r="I959" s="29"/>
      <c r="J959" s="29"/>
      <c r="K959" s="29"/>
      <c r="L959" s="29"/>
    </row>
    <row r="960" spans="1:12" ht="14.25" customHeight="1" x14ac:dyDescent="0.3">
      <c r="A960" s="40"/>
      <c r="B960" s="29"/>
      <c r="C960" s="29"/>
      <c r="D960" s="29"/>
      <c r="E960" s="29"/>
      <c r="F960" s="29"/>
      <c r="G960" s="29"/>
      <c r="H960" s="29"/>
      <c r="I960" s="29"/>
      <c r="J960" s="29"/>
      <c r="K960" s="29"/>
      <c r="L960" s="29"/>
    </row>
    <row r="961" spans="1:12" ht="14.25" customHeight="1" x14ac:dyDescent="0.3">
      <c r="A961" s="40"/>
      <c r="B961" s="29"/>
      <c r="C961" s="29"/>
      <c r="D961" s="29"/>
      <c r="E961" s="29"/>
      <c r="F961" s="29"/>
      <c r="G961" s="29"/>
      <c r="H961" s="29"/>
      <c r="I961" s="29"/>
      <c r="J961" s="29"/>
      <c r="K961" s="29"/>
      <c r="L961" s="29"/>
    </row>
    <row r="962" spans="1:12" ht="14.25" customHeight="1" x14ac:dyDescent="0.3">
      <c r="A962" s="40"/>
      <c r="B962" s="29"/>
      <c r="C962" s="29"/>
      <c r="D962" s="29"/>
      <c r="E962" s="29"/>
      <c r="F962" s="29"/>
      <c r="G962" s="29"/>
      <c r="H962" s="29"/>
      <c r="I962" s="29"/>
      <c r="J962" s="29"/>
      <c r="K962" s="29"/>
      <c r="L962" s="29"/>
    </row>
    <row r="963" spans="1:12" ht="14.25" customHeight="1" x14ac:dyDescent="0.3">
      <c r="A963" s="40"/>
      <c r="B963" s="29"/>
      <c r="C963" s="29"/>
      <c r="D963" s="29"/>
      <c r="E963" s="29"/>
      <c r="F963" s="29"/>
      <c r="G963" s="29"/>
      <c r="H963" s="29"/>
      <c r="I963" s="29"/>
      <c r="J963" s="29"/>
      <c r="K963" s="29"/>
      <c r="L963" s="29"/>
    </row>
    <row r="964" spans="1:12" ht="14.25" customHeight="1" x14ac:dyDescent="0.3">
      <c r="A964" s="40"/>
      <c r="B964" s="29"/>
      <c r="C964" s="29"/>
      <c r="D964" s="29"/>
      <c r="E964" s="29"/>
      <c r="F964" s="29"/>
      <c r="G964" s="29"/>
      <c r="H964" s="29"/>
      <c r="I964" s="29"/>
      <c r="J964" s="29"/>
      <c r="K964" s="29"/>
      <c r="L964" s="29"/>
    </row>
    <row r="965" spans="1:12" ht="14.25" customHeight="1" x14ac:dyDescent="0.3">
      <c r="A965" s="40"/>
      <c r="B965" s="29"/>
      <c r="C965" s="29"/>
      <c r="D965" s="29"/>
      <c r="E965" s="29"/>
      <c r="F965" s="29"/>
      <c r="G965" s="29"/>
      <c r="H965" s="29"/>
      <c r="I965" s="29"/>
      <c r="J965" s="29"/>
      <c r="K965" s="29"/>
      <c r="L965" s="29"/>
    </row>
    <row r="966" spans="1:12" ht="14.25" customHeight="1" x14ac:dyDescent="0.3">
      <c r="A966" s="40"/>
      <c r="B966" s="29"/>
      <c r="C966" s="29"/>
      <c r="D966" s="29"/>
      <c r="E966" s="29"/>
      <c r="F966" s="29"/>
      <c r="G966" s="29"/>
      <c r="H966" s="29"/>
      <c r="I966" s="29"/>
      <c r="J966" s="29"/>
      <c r="K966" s="29"/>
      <c r="L966" s="29"/>
    </row>
    <row r="967" spans="1:12" ht="14.25" customHeight="1" x14ac:dyDescent="0.3">
      <c r="A967" s="40"/>
      <c r="B967" s="29"/>
      <c r="C967" s="29"/>
      <c r="D967" s="29"/>
      <c r="E967" s="29"/>
      <c r="F967" s="29"/>
      <c r="G967" s="29"/>
      <c r="H967" s="29"/>
      <c r="I967" s="29"/>
      <c r="J967" s="29"/>
      <c r="K967" s="29"/>
      <c r="L967" s="29"/>
    </row>
    <row r="968" spans="1:12" ht="14.25" customHeight="1" x14ac:dyDescent="0.3">
      <c r="A968" s="40"/>
      <c r="B968" s="29"/>
      <c r="C968" s="29"/>
      <c r="D968" s="29"/>
      <c r="E968" s="29"/>
      <c r="F968" s="29"/>
      <c r="G968" s="29"/>
      <c r="H968" s="29"/>
      <c r="I968" s="29"/>
      <c r="J968" s="29"/>
      <c r="K968" s="29"/>
      <c r="L968" s="29"/>
    </row>
    <row r="969" spans="1:12" ht="14.25" customHeight="1" x14ac:dyDescent="0.3">
      <c r="A969" s="40"/>
      <c r="B969" s="29"/>
      <c r="C969" s="29"/>
      <c r="D969" s="29"/>
      <c r="E969" s="29"/>
      <c r="F969" s="29"/>
      <c r="G969" s="29"/>
      <c r="H969" s="29"/>
      <c r="I969" s="29"/>
      <c r="J969" s="29"/>
      <c r="K969" s="29"/>
      <c r="L969" s="29"/>
    </row>
    <row r="970" spans="1:12" ht="14.25" customHeight="1" x14ac:dyDescent="0.3">
      <c r="A970" s="40"/>
      <c r="B970" s="29"/>
      <c r="C970" s="29"/>
      <c r="D970" s="29"/>
      <c r="E970" s="29"/>
      <c r="F970" s="29"/>
      <c r="G970" s="29"/>
      <c r="H970" s="29"/>
      <c r="I970" s="29"/>
      <c r="J970" s="29"/>
      <c r="K970" s="29"/>
      <c r="L970" s="29"/>
    </row>
    <row r="971" spans="1:12" ht="14.25" customHeight="1" x14ac:dyDescent="0.3">
      <c r="A971" s="40"/>
      <c r="B971" s="29"/>
      <c r="C971" s="29"/>
      <c r="D971" s="29"/>
      <c r="E971" s="29"/>
      <c r="F971" s="29"/>
      <c r="G971" s="29"/>
      <c r="H971" s="29"/>
      <c r="I971" s="29"/>
      <c r="J971" s="29"/>
      <c r="K971" s="29"/>
      <c r="L971" s="29"/>
    </row>
    <row r="972" spans="1:12" ht="14.25" customHeight="1" x14ac:dyDescent="0.3">
      <c r="A972" s="40"/>
      <c r="B972" s="29"/>
      <c r="C972" s="29"/>
      <c r="D972" s="29"/>
      <c r="E972" s="29"/>
      <c r="F972" s="29"/>
      <c r="G972" s="29"/>
      <c r="H972" s="29"/>
      <c r="I972" s="29"/>
      <c r="J972" s="29"/>
      <c r="K972" s="29"/>
      <c r="L972" s="29"/>
    </row>
    <row r="973" spans="1:12" ht="14.25" customHeight="1" x14ac:dyDescent="0.3">
      <c r="A973" s="40"/>
      <c r="B973" s="29"/>
      <c r="C973" s="29"/>
      <c r="D973" s="29"/>
      <c r="E973" s="29"/>
      <c r="F973" s="29"/>
      <c r="G973" s="29"/>
      <c r="H973" s="29"/>
      <c r="I973" s="29"/>
      <c r="J973" s="29"/>
      <c r="K973" s="29"/>
      <c r="L973" s="29"/>
    </row>
    <row r="974" spans="1:12" ht="14.25" customHeight="1" x14ac:dyDescent="0.3">
      <c r="A974" s="40"/>
      <c r="B974" s="29"/>
      <c r="C974" s="29"/>
      <c r="D974" s="29"/>
      <c r="E974" s="29"/>
      <c r="F974" s="29"/>
      <c r="G974" s="29"/>
      <c r="H974" s="29"/>
      <c r="I974" s="29"/>
      <c r="J974" s="29"/>
      <c r="K974" s="29"/>
      <c r="L974" s="29"/>
    </row>
    <row r="975" spans="1:12" ht="14.25" customHeight="1" x14ac:dyDescent="0.3">
      <c r="A975" s="40"/>
      <c r="B975" s="29"/>
      <c r="C975" s="29"/>
      <c r="D975" s="29"/>
      <c r="E975" s="29"/>
      <c r="F975" s="29"/>
      <c r="G975" s="29"/>
      <c r="H975" s="29"/>
      <c r="I975" s="29"/>
      <c r="J975" s="29"/>
      <c r="K975" s="29"/>
      <c r="L975" s="29"/>
    </row>
    <row r="976" spans="1:12" ht="14.25" customHeight="1" x14ac:dyDescent="0.3">
      <c r="A976" s="40"/>
      <c r="B976" s="29"/>
      <c r="C976" s="29"/>
      <c r="D976" s="29"/>
      <c r="E976" s="29"/>
      <c r="F976" s="29"/>
      <c r="G976" s="29"/>
      <c r="H976" s="29"/>
      <c r="I976" s="29"/>
      <c r="J976" s="29"/>
      <c r="K976" s="29"/>
      <c r="L976" s="29"/>
    </row>
    <row r="977" spans="1:12" ht="14.25" customHeight="1" x14ac:dyDescent="0.3">
      <c r="A977" s="40"/>
      <c r="B977" s="29"/>
      <c r="C977" s="29"/>
      <c r="D977" s="29"/>
      <c r="E977" s="29"/>
      <c r="F977" s="29"/>
      <c r="G977" s="29"/>
      <c r="H977" s="29"/>
      <c r="I977" s="29"/>
      <c r="J977" s="29"/>
      <c r="K977" s="29"/>
      <c r="L977" s="29"/>
    </row>
    <row r="978" spans="1:12" ht="14.25" customHeight="1" x14ac:dyDescent="0.3">
      <c r="A978" s="40"/>
      <c r="B978" s="29"/>
      <c r="C978" s="29"/>
      <c r="D978" s="29"/>
      <c r="E978" s="29"/>
      <c r="F978" s="29"/>
      <c r="G978" s="29"/>
      <c r="H978" s="29"/>
      <c r="I978" s="29"/>
      <c r="J978" s="29"/>
      <c r="K978" s="29"/>
      <c r="L978" s="29"/>
    </row>
    <row r="979" spans="1:12" ht="14.25" customHeight="1" x14ac:dyDescent="0.3">
      <c r="A979" s="40"/>
      <c r="B979" s="29"/>
      <c r="C979" s="29"/>
      <c r="D979" s="29"/>
      <c r="E979" s="29"/>
      <c r="F979" s="29"/>
      <c r="G979" s="29"/>
      <c r="H979" s="29"/>
      <c r="I979" s="29"/>
      <c r="J979" s="29"/>
      <c r="K979" s="29"/>
      <c r="L979" s="29"/>
    </row>
    <row r="980" spans="1:12" ht="14.25" customHeight="1" x14ac:dyDescent="0.3">
      <c r="A980" s="40"/>
      <c r="B980" s="29"/>
      <c r="C980" s="29"/>
      <c r="D980" s="29"/>
      <c r="E980" s="29"/>
      <c r="F980" s="29"/>
      <c r="G980" s="29"/>
      <c r="H980" s="29"/>
      <c r="I980" s="29"/>
      <c r="J980" s="29"/>
      <c r="K980" s="29"/>
      <c r="L980" s="29"/>
    </row>
    <row r="981" spans="1:12" ht="14.25" customHeight="1" x14ac:dyDescent="0.3">
      <c r="A981" s="40"/>
      <c r="B981" s="29"/>
      <c r="C981" s="29"/>
      <c r="D981" s="29"/>
      <c r="E981" s="29"/>
      <c r="F981" s="29"/>
      <c r="G981" s="29"/>
      <c r="H981" s="29"/>
      <c r="I981" s="29"/>
      <c r="J981" s="29"/>
      <c r="K981" s="29"/>
      <c r="L981" s="29"/>
    </row>
    <row r="982" spans="1:12" ht="14.25" customHeight="1" x14ac:dyDescent="0.3">
      <c r="A982" s="40"/>
      <c r="B982" s="29"/>
      <c r="C982" s="29"/>
      <c r="D982" s="29"/>
      <c r="E982" s="29"/>
      <c r="F982" s="29"/>
      <c r="G982" s="29"/>
      <c r="H982" s="29"/>
      <c r="I982" s="29"/>
      <c r="J982" s="29"/>
      <c r="K982" s="29"/>
      <c r="L982" s="29"/>
    </row>
    <row r="983" spans="1:12" ht="14.25" customHeight="1" x14ac:dyDescent="0.3">
      <c r="A983" s="40"/>
      <c r="B983" s="29"/>
      <c r="C983" s="29"/>
      <c r="D983" s="29"/>
      <c r="E983" s="29"/>
      <c r="F983" s="29"/>
      <c r="G983" s="29"/>
      <c r="H983" s="29"/>
      <c r="I983" s="29"/>
      <c r="J983" s="29"/>
      <c r="K983" s="29"/>
      <c r="L983" s="29"/>
    </row>
    <row r="984" spans="1:12" ht="14.25" customHeight="1" x14ac:dyDescent="0.3">
      <c r="A984" s="40"/>
      <c r="B984" s="29"/>
      <c r="C984" s="29"/>
      <c r="D984" s="29"/>
      <c r="E984" s="29"/>
      <c r="F984" s="29"/>
      <c r="G984" s="29"/>
      <c r="H984" s="29"/>
      <c r="I984" s="29"/>
      <c r="J984" s="29"/>
      <c r="K984" s="29"/>
      <c r="L984" s="29"/>
    </row>
    <row r="985" spans="1:12" ht="14.25" customHeight="1" x14ac:dyDescent="0.3">
      <c r="A985" s="40"/>
      <c r="B985" s="29"/>
      <c r="C985" s="29"/>
      <c r="D985" s="29"/>
      <c r="E985" s="29"/>
      <c r="F985" s="29"/>
      <c r="G985" s="29"/>
      <c r="H985" s="29"/>
      <c r="I985" s="29"/>
      <c r="J985" s="29"/>
      <c r="K985" s="29"/>
      <c r="L985" s="29"/>
    </row>
    <row r="986" spans="1:12" ht="14.25" customHeight="1" x14ac:dyDescent="0.3">
      <c r="A986" s="40"/>
      <c r="B986" s="29"/>
      <c r="C986" s="29"/>
      <c r="D986" s="29"/>
      <c r="E986" s="29"/>
      <c r="F986" s="29"/>
      <c r="G986" s="29"/>
      <c r="H986" s="29"/>
      <c r="I986" s="29"/>
      <c r="J986" s="29"/>
      <c r="K986" s="29"/>
      <c r="L986" s="29"/>
    </row>
    <row r="987" spans="1:12" ht="14.25" customHeight="1" x14ac:dyDescent="0.3">
      <c r="A987" s="40"/>
      <c r="B987" s="29"/>
      <c r="C987" s="29"/>
      <c r="D987" s="29"/>
      <c r="E987" s="29"/>
      <c r="F987" s="29"/>
      <c r="G987" s="29"/>
      <c r="H987" s="29"/>
      <c r="I987" s="29"/>
      <c r="J987" s="29"/>
      <c r="K987" s="29"/>
      <c r="L987" s="29"/>
    </row>
    <row r="988" spans="1:12" ht="14.25" customHeight="1" x14ac:dyDescent="0.3">
      <c r="A988" s="40"/>
      <c r="B988" s="29"/>
      <c r="C988" s="29"/>
      <c r="D988" s="29"/>
      <c r="E988" s="29"/>
      <c r="F988" s="29"/>
      <c r="G988" s="29"/>
      <c r="H988" s="29"/>
      <c r="I988" s="29"/>
      <c r="J988" s="29"/>
      <c r="K988" s="29"/>
      <c r="L988" s="29"/>
    </row>
    <row r="989" spans="1:12" ht="14.25" customHeight="1" x14ac:dyDescent="0.3">
      <c r="A989" s="40"/>
      <c r="B989" s="29"/>
      <c r="C989" s="29"/>
      <c r="D989" s="29"/>
      <c r="E989" s="29"/>
      <c r="F989" s="29"/>
      <c r="G989" s="29"/>
      <c r="H989" s="29"/>
      <c r="I989" s="29"/>
      <c r="J989" s="29"/>
      <c r="K989" s="29"/>
      <c r="L989" s="29"/>
    </row>
    <row r="990" spans="1:12" ht="14.25" customHeight="1" x14ac:dyDescent="0.3">
      <c r="A990" s="40"/>
      <c r="B990" s="29"/>
      <c r="C990" s="29"/>
      <c r="D990" s="29"/>
      <c r="E990" s="29"/>
      <c r="F990" s="29"/>
      <c r="G990" s="29"/>
      <c r="H990" s="29"/>
      <c r="I990" s="29"/>
      <c r="J990" s="29"/>
      <c r="K990" s="29"/>
      <c r="L990" s="29"/>
    </row>
    <row r="991" spans="1:12" ht="14.25" customHeight="1" x14ac:dyDescent="0.3">
      <c r="A991" s="40"/>
      <c r="B991" s="29"/>
      <c r="C991" s="29"/>
      <c r="D991" s="29"/>
      <c r="E991" s="29"/>
      <c r="F991" s="29"/>
      <c r="G991" s="29"/>
      <c r="H991" s="29"/>
      <c r="I991" s="29"/>
      <c r="J991" s="29"/>
      <c r="K991" s="29"/>
      <c r="L991" s="29"/>
    </row>
    <row r="992" spans="1:12" ht="14.25" customHeight="1" x14ac:dyDescent="0.3">
      <c r="A992" s="40"/>
      <c r="B992" s="29"/>
      <c r="C992" s="29"/>
      <c r="D992" s="29"/>
      <c r="E992" s="29"/>
      <c r="F992" s="29"/>
      <c r="G992" s="29"/>
      <c r="H992" s="29"/>
      <c r="I992" s="29"/>
      <c r="J992" s="29"/>
      <c r="K992" s="29"/>
      <c r="L992" s="29"/>
    </row>
    <row r="993" spans="1:12" ht="14.25" customHeight="1" x14ac:dyDescent="0.3">
      <c r="A993" s="40"/>
      <c r="B993" s="29"/>
      <c r="C993" s="29"/>
      <c r="D993" s="29"/>
      <c r="E993" s="29"/>
      <c r="F993" s="29"/>
      <c r="G993" s="29"/>
      <c r="H993" s="29"/>
      <c r="I993" s="29"/>
      <c r="J993" s="29"/>
      <c r="K993" s="29"/>
      <c r="L993" s="29"/>
    </row>
    <row r="994" spans="1:12" ht="14.25" customHeight="1" x14ac:dyDescent="0.3">
      <c r="A994" s="40"/>
      <c r="B994" s="29"/>
      <c r="C994" s="29"/>
      <c r="D994" s="29"/>
      <c r="E994" s="29"/>
      <c r="F994" s="29"/>
      <c r="G994" s="29"/>
      <c r="H994" s="29"/>
      <c r="I994" s="29"/>
      <c r="J994" s="29"/>
      <c r="K994" s="29"/>
      <c r="L994" s="29"/>
    </row>
    <row r="995" spans="1:12" ht="14.25" customHeight="1" x14ac:dyDescent="0.3">
      <c r="A995" s="40"/>
      <c r="B995" s="29"/>
      <c r="C995" s="29"/>
      <c r="D995" s="29"/>
      <c r="E995" s="29"/>
      <c r="F995" s="29"/>
      <c r="G995" s="29"/>
      <c r="H995" s="29"/>
      <c r="I995" s="29"/>
      <c r="J995" s="29"/>
      <c r="K995" s="29"/>
      <c r="L995" s="29"/>
    </row>
    <row r="996" spans="1:12" ht="14.25" customHeight="1" x14ac:dyDescent="0.3">
      <c r="A996" s="40"/>
      <c r="B996" s="29"/>
      <c r="C996" s="29"/>
      <c r="D996" s="29"/>
      <c r="E996" s="29"/>
      <c r="F996" s="29"/>
      <c r="G996" s="29"/>
      <c r="H996" s="29"/>
      <c r="I996" s="29"/>
      <c r="J996" s="29"/>
      <c r="K996" s="29"/>
      <c r="L996" s="29"/>
    </row>
    <row r="997" spans="1:12" ht="14.25" customHeight="1" x14ac:dyDescent="0.3">
      <c r="A997" s="40"/>
      <c r="B997" s="29"/>
      <c r="C997" s="29"/>
      <c r="D997" s="29"/>
      <c r="E997" s="29"/>
      <c r="F997" s="29"/>
      <c r="G997" s="29"/>
      <c r="H997" s="29"/>
      <c r="I997" s="29"/>
      <c r="J997" s="29"/>
      <c r="K997" s="29"/>
      <c r="L997" s="29"/>
    </row>
    <row r="998" spans="1:12" ht="14.25" customHeight="1" x14ac:dyDescent="0.3">
      <c r="A998" s="40"/>
      <c r="B998" s="29"/>
      <c r="C998" s="29"/>
      <c r="D998" s="29"/>
      <c r="E998" s="29"/>
      <c r="F998" s="29"/>
      <c r="G998" s="29"/>
      <c r="H998" s="29"/>
      <c r="I998" s="29"/>
      <c r="J998" s="29"/>
      <c r="K998" s="29"/>
      <c r="L998" s="29"/>
    </row>
    <row r="999" spans="1:12" ht="14.25" customHeight="1" x14ac:dyDescent="0.3">
      <c r="A999" s="40"/>
      <c r="B999" s="29"/>
      <c r="C999" s="29"/>
      <c r="D999" s="29"/>
      <c r="E999" s="29"/>
      <c r="F999" s="29"/>
      <c r="G999" s="29"/>
      <c r="H999" s="29"/>
      <c r="I999" s="29"/>
      <c r="J999" s="29"/>
      <c r="K999" s="29"/>
      <c r="L999" s="29"/>
    </row>
    <row r="1000" spans="1:12" ht="14.25" customHeight="1" x14ac:dyDescent="0.3">
      <c r="A1000" s="40"/>
      <c r="B1000" s="29"/>
      <c r="C1000" s="29"/>
      <c r="D1000" s="29"/>
      <c r="E1000" s="29"/>
      <c r="F1000" s="29"/>
      <c r="G1000" s="29"/>
      <c r="H1000" s="29"/>
      <c r="I1000" s="29"/>
      <c r="J1000" s="29"/>
      <c r="K1000" s="29"/>
      <c r="L1000" s="29"/>
    </row>
    <row r="1001" spans="1:12" ht="14.25" customHeight="1" x14ac:dyDescent="0.3">
      <c r="A1001" s="40"/>
      <c r="B1001" s="29"/>
      <c r="C1001" s="29"/>
      <c r="D1001" s="29"/>
      <c r="E1001" s="29"/>
      <c r="F1001" s="29"/>
      <c r="G1001" s="29"/>
      <c r="H1001" s="29"/>
      <c r="I1001" s="29"/>
      <c r="J1001" s="29"/>
      <c r="K1001" s="29"/>
      <c r="L1001" s="29"/>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7"/>
  <sheetViews>
    <sheetView workbookViewId="0">
      <pane ySplit="1" topLeftCell="A2" activePane="bottomLeft" state="frozen"/>
      <selection pane="bottomLeft" activeCell="B3" sqref="B3"/>
    </sheetView>
  </sheetViews>
  <sheetFormatPr defaultColWidth="14.44140625" defaultRowHeight="15" customHeight="1" x14ac:dyDescent="0.3"/>
  <cols>
    <col min="1" max="1" width="25.5546875" customWidth="1"/>
    <col min="2" max="2" width="176.109375" customWidth="1"/>
    <col min="3" max="3" width="11.5546875" customWidth="1"/>
    <col min="4" max="4" width="13.33203125" customWidth="1"/>
    <col min="5" max="5" width="13.109375" customWidth="1"/>
    <col min="6" max="6" width="147.6640625" customWidth="1"/>
    <col min="7" max="26" width="8.6640625" customWidth="1"/>
  </cols>
  <sheetData>
    <row r="1" spans="1:26" ht="14.25" customHeight="1" x14ac:dyDescent="0.3">
      <c r="A1" s="1" t="s">
        <v>0</v>
      </c>
      <c r="B1" s="2" t="s">
        <v>695</v>
      </c>
      <c r="C1" s="2" t="s">
        <v>696</v>
      </c>
      <c r="D1" s="2" t="s">
        <v>697</v>
      </c>
      <c r="E1" s="2" t="s">
        <v>698</v>
      </c>
      <c r="F1" s="3" t="s">
        <v>525</v>
      </c>
      <c r="G1" s="29"/>
      <c r="H1" s="29"/>
      <c r="I1" s="29"/>
      <c r="J1" s="29"/>
      <c r="K1" s="29"/>
      <c r="L1" s="29"/>
      <c r="M1" s="29"/>
      <c r="N1" s="29"/>
      <c r="O1" s="29"/>
      <c r="P1" s="29"/>
      <c r="Q1" s="29"/>
      <c r="R1" s="29"/>
      <c r="S1" s="29"/>
      <c r="T1" s="29"/>
      <c r="U1" s="29"/>
      <c r="V1" s="29"/>
      <c r="W1" s="29"/>
      <c r="X1" s="29"/>
      <c r="Y1" s="29"/>
      <c r="Z1" s="29"/>
    </row>
    <row r="2" spans="1:26" ht="14.25" customHeight="1" x14ac:dyDescent="0.3">
      <c r="A2" s="6" t="s">
        <v>332</v>
      </c>
      <c r="B2" s="7" t="s">
        <v>699</v>
      </c>
      <c r="C2" s="7" t="s">
        <v>585</v>
      </c>
      <c r="D2" s="7" t="s">
        <v>700</v>
      </c>
      <c r="E2" s="7" t="s">
        <v>199</v>
      </c>
      <c r="F2" s="11" t="s">
        <v>701</v>
      </c>
      <c r="G2" s="29"/>
      <c r="H2" s="29"/>
      <c r="I2" s="29"/>
      <c r="J2" s="29"/>
      <c r="K2" s="29"/>
      <c r="L2" s="29"/>
      <c r="M2" s="29"/>
      <c r="N2" s="29"/>
      <c r="O2" s="29"/>
      <c r="P2" s="29"/>
      <c r="Q2" s="29"/>
      <c r="R2" s="29"/>
      <c r="S2" s="29"/>
      <c r="T2" s="29"/>
      <c r="U2" s="29"/>
      <c r="V2" s="29"/>
      <c r="W2" s="29"/>
      <c r="X2" s="29"/>
      <c r="Y2" s="29"/>
      <c r="Z2" s="29"/>
    </row>
    <row r="3" spans="1:26" ht="14.25" customHeight="1" x14ac:dyDescent="0.3">
      <c r="A3" s="14" t="s">
        <v>193</v>
      </c>
      <c r="B3" s="15" t="s">
        <v>702</v>
      </c>
      <c r="C3" s="15" t="s">
        <v>585</v>
      </c>
      <c r="D3" s="15" t="s">
        <v>703</v>
      </c>
      <c r="E3" s="15" t="s">
        <v>199</v>
      </c>
      <c r="F3" s="18" t="s">
        <v>704</v>
      </c>
      <c r="G3" s="29"/>
      <c r="H3" s="29"/>
      <c r="I3" s="29"/>
      <c r="J3" s="29"/>
      <c r="K3" s="29"/>
      <c r="L3" s="29"/>
      <c r="M3" s="29"/>
      <c r="N3" s="29"/>
      <c r="O3" s="29"/>
      <c r="P3" s="29"/>
      <c r="Q3" s="29"/>
      <c r="R3" s="29"/>
      <c r="S3" s="29"/>
      <c r="T3" s="29"/>
      <c r="U3" s="29"/>
      <c r="V3" s="29"/>
      <c r="W3" s="29"/>
      <c r="X3" s="29"/>
      <c r="Y3" s="29"/>
      <c r="Z3" s="29"/>
    </row>
    <row r="4" spans="1:26" ht="14.25" customHeight="1" x14ac:dyDescent="0.3">
      <c r="A4" s="31"/>
      <c r="B4" s="31"/>
      <c r="C4" s="31"/>
      <c r="D4" s="31"/>
      <c r="E4" s="31"/>
      <c r="F4" s="31"/>
      <c r="G4" s="29"/>
      <c r="H4" s="29"/>
      <c r="I4" s="29"/>
      <c r="J4" s="29"/>
      <c r="K4" s="29"/>
      <c r="L4" s="29"/>
      <c r="M4" s="29"/>
      <c r="N4" s="29"/>
      <c r="O4" s="29"/>
      <c r="P4" s="29"/>
      <c r="Q4" s="29"/>
      <c r="R4" s="29"/>
      <c r="S4" s="29"/>
      <c r="T4" s="29"/>
      <c r="U4" s="29"/>
      <c r="V4" s="29"/>
      <c r="W4" s="29"/>
      <c r="X4" s="29"/>
      <c r="Y4" s="29"/>
      <c r="Z4" s="29"/>
    </row>
    <row r="5" spans="1:26" ht="14.25" customHeight="1" x14ac:dyDescent="0.3">
      <c r="A5" s="31"/>
      <c r="B5" s="31"/>
      <c r="C5" s="31"/>
      <c r="D5" s="31"/>
      <c r="E5" s="31"/>
      <c r="F5" s="31"/>
      <c r="G5" s="29"/>
      <c r="H5" s="29"/>
      <c r="I5" s="29"/>
      <c r="J5" s="29"/>
      <c r="K5" s="29"/>
      <c r="L5" s="29"/>
      <c r="M5" s="29"/>
      <c r="N5" s="29"/>
      <c r="O5" s="29"/>
      <c r="P5" s="29"/>
      <c r="Q5" s="29"/>
      <c r="R5" s="29"/>
      <c r="S5" s="29"/>
      <c r="T5" s="29"/>
      <c r="U5" s="29"/>
      <c r="V5" s="29"/>
      <c r="W5" s="29"/>
      <c r="X5" s="29"/>
      <c r="Y5" s="29"/>
      <c r="Z5" s="29"/>
    </row>
    <row r="6" spans="1:26" ht="14.25" customHeight="1" x14ac:dyDescent="0.3">
      <c r="A6" s="31"/>
      <c r="B6" s="31"/>
      <c r="C6" s="31"/>
      <c r="D6" s="31"/>
      <c r="E6" s="31"/>
      <c r="F6" s="31"/>
      <c r="G6" s="29"/>
      <c r="H6" s="29"/>
      <c r="I6" s="29"/>
      <c r="J6" s="29"/>
      <c r="K6" s="29"/>
      <c r="L6" s="29"/>
      <c r="M6" s="29"/>
      <c r="N6" s="29"/>
      <c r="O6" s="29"/>
      <c r="P6" s="29"/>
      <c r="Q6" s="29"/>
      <c r="R6" s="29"/>
      <c r="S6" s="29"/>
      <c r="T6" s="29"/>
      <c r="U6" s="29"/>
      <c r="V6" s="29"/>
      <c r="W6" s="29"/>
      <c r="X6" s="29"/>
      <c r="Y6" s="29"/>
      <c r="Z6" s="29"/>
    </row>
    <row r="7" spans="1:26" ht="14.25" customHeight="1" x14ac:dyDescent="0.3">
      <c r="A7" s="31"/>
      <c r="B7" s="31"/>
      <c r="C7" s="31"/>
      <c r="D7" s="31"/>
      <c r="E7" s="31"/>
      <c r="F7" s="31"/>
      <c r="G7" s="29"/>
      <c r="H7" s="29"/>
      <c r="I7" s="29"/>
      <c r="J7" s="29"/>
      <c r="K7" s="29"/>
      <c r="L7" s="29"/>
      <c r="M7" s="29"/>
      <c r="N7" s="29"/>
      <c r="O7" s="29"/>
      <c r="P7" s="29"/>
      <c r="Q7" s="29"/>
      <c r="R7" s="29"/>
      <c r="S7" s="29"/>
      <c r="T7" s="29"/>
      <c r="U7" s="29"/>
      <c r="V7" s="29"/>
      <c r="W7" s="29"/>
      <c r="X7" s="29"/>
      <c r="Y7" s="29"/>
      <c r="Z7" s="29"/>
    </row>
    <row r="8" spans="1:26" ht="14.25" customHeight="1" x14ac:dyDescent="0.3">
      <c r="A8" s="31"/>
      <c r="B8" s="31"/>
      <c r="C8" s="31"/>
      <c r="D8" s="31"/>
      <c r="E8" s="31"/>
      <c r="F8" s="31"/>
      <c r="G8" s="29"/>
      <c r="H8" s="29"/>
      <c r="I8" s="29"/>
      <c r="J8" s="29"/>
      <c r="K8" s="29"/>
      <c r="L8" s="29"/>
      <c r="M8" s="29"/>
      <c r="N8" s="29"/>
      <c r="O8" s="29"/>
      <c r="P8" s="29"/>
      <c r="Q8" s="29"/>
      <c r="R8" s="29"/>
      <c r="S8" s="29"/>
      <c r="T8" s="29"/>
      <c r="U8" s="29"/>
      <c r="V8" s="29"/>
      <c r="W8" s="29"/>
      <c r="X8" s="29"/>
      <c r="Y8" s="29"/>
      <c r="Z8" s="29"/>
    </row>
    <row r="9" spans="1:26" ht="14.25" customHeight="1" x14ac:dyDescent="0.3">
      <c r="A9" s="31"/>
      <c r="B9" s="31"/>
      <c r="C9" s="31"/>
      <c r="D9" s="31"/>
      <c r="E9" s="31"/>
      <c r="F9" s="31"/>
      <c r="G9" s="29"/>
      <c r="H9" s="29"/>
      <c r="I9" s="29"/>
      <c r="J9" s="29"/>
      <c r="K9" s="29"/>
      <c r="L9" s="29"/>
      <c r="M9" s="29"/>
      <c r="N9" s="29"/>
      <c r="O9" s="29"/>
      <c r="P9" s="29"/>
      <c r="Q9" s="29"/>
      <c r="R9" s="29"/>
      <c r="S9" s="29"/>
      <c r="T9" s="29"/>
      <c r="U9" s="29"/>
      <c r="V9" s="29"/>
      <c r="W9" s="29"/>
      <c r="X9" s="29"/>
      <c r="Y9" s="29"/>
      <c r="Z9" s="29"/>
    </row>
    <row r="10" spans="1:26" ht="14.25" customHeight="1" x14ac:dyDescent="0.3">
      <c r="A10" s="31"/>
      <c r="B10" s="31"/>
      <c r="C10" s="31"/>
      <c r="D10" s="31"/>
      <c r="E10" s="31"/>
      <c r="F10" s="31"/>
      <c r="G10" s="29"/>
      <c r="H10" s="29"/>
      <c r="I10" s="29"/>
      <c r="J10" s="29"/>
      <c r="K10" s="29"/>
      <c r="L10" s="29"/>
      <c r="M10" s="29"/>
      <c r="N10" s="29"/>
      <c r="O10" s="29"/>
      <c r="P10" s="29"/>
      <c r="Q10" s="29"/>
      <c r="R10" s="29"/>
      <c r="S10" s="29"/>
      <c r="T10" s="29"/>
      <c r="U10" s="29"/>
      <c r="V10" s="29"/>
      <c r="W10" s="29"/>
      <c r="X10" s="29"/>
      <c r="Y10" s="29"/>
      <c r="Z10" s="29"/>
    </row>
    <row r="11" spans="1:26" ht="14.25" customHeight="1" x14ac:dyDescent="0.3">
      <c r="A11" s="31"/>
      <c r="B11" s="31"/>
      <c r="C11" s="31"/>
      <c r="D11" s="31"/>
      <c r="E11" s="31"/>
      <c r="F11" s="31"/>
      <c r="G11" s="29"/>
      <c r="H11" s="29"/>
      <c r="I11" s="29"/>
      <c r="J11" s="29"/>
      <c r="K11" s="29"/>
      <c r="L11" s="29"/>
      <c r="M11" s="29"/>
      <c r="N11" s="29"/>
      <c r="O11" s="29"/>
      <c r="P11" s="29"/>
      <c r="Q11" s="29"/>
      <c r="R11" s="29"/>
      <c r="S11" s="29"/>
      <c r="T11" s="29"/>
      <c r="U11" s="29"/>
      <c r="V11" s="29"/>
      <c r="W11" s="29"/>
      <c r="X11" s="29"/>
      <c r="Y11" s="29"/>
      <c r="Z11" s="29"/>
    </row>
    <row r="12" spans="1:26" ht="14.25" customHeight="1" x14ac:dyDescent="0.3">
      <c r="A12" s="31"/>
      <c r="B12" s="31"/>
      <c r="C12" s="31"/>
      <c r="D12" s="31"/>
      <c r="E12" s="31"/>
      <c r="F12" s="31"/>
      <c r="G12" s="29"/>
      <c r="H12" s="29"/>
      <c r="I12" s="29"/>
      <c r="J12" s="29"/>
      <c r="K12" s="29"/>
      <c r="L12" s="29"/>
      <c r="M12" s="29"/>
      <c r="N12" s="29"/>
      <c r="O12" s="29"/>
      <c r="P12" s="29"/>
      <c r="Q12" s="29"/>
      <c r="R12" s="29"/>
      <c r="S12" s="29"/>
      <c r="T12" s="29"/>
      <c r="U12" s="29"/>
      <c r="V12" s="29"/>
      <c r="W12" s="29"/>
      <c r="X12" s="29"/>
      <c r="Y12" s="29"/>
      <c r="Z12" s="29"/>
    </row>
    <row r="13" spans="1:26" ht="14.25" customHeight="1" x14ac:dyDescent="0.3">
      <c r="A13" s="31"/>
      <c r="B13" s="31"/>
      <c r="C13" s="31"/>
      <c r="D13" s="31"/>
      <c r="E13" s="31"/>
      <c r="F13" s="31"/>
      <c r="G13" s="29"/>
      <c r="H13" s="29"/>
      <c r="I13" s="29"/>
      <c r="J13" s="29"/>
      <c r="K13" s="29"/>
      <c r="L13" s="29"/>
      <c r="M13" s="29"/>
      <c r="N13" s="29"/>
      <c r="O13" s="29"/>
      <c r="P13" s="29"/>
      <c r="Q13" s="29"/>
      <c r="R13" s="29"/>
      <c r="S13" s="29"/>
      <c r="T13" s="29"/>
      <c r="U13" s="29"/>
      <c r="V13" s="29"/>
      <c r="W13" s="29"/>
      <c r="X13" s="29"/>
      <c r="Y13" s="29"/>
      <c r="Z13" s="29"/>
    </row>
    <row r="14" spans="1:26" ht="14.25" customHeight="1" x14ac:dyDescent="0.3">
      <c r="A14" s="31"/>
      <c r="B14" s="31"/>
      <c r="C14" s="31"/>
      <c r="D14" s="31"/>
      <c r="E14" s="31"/>
      <c r="F14" s="31"/>
      <c r="G14" s="29"/>
      <c r="H14" s="29"/>
      <c r="I14" s="29"/>
      <c r="J14" s="29"/>
      <c r="K14" s="29"/>
      <c r="L14" s="29"/>
      <c r="M14" s="29"/>
      <c r="N14" s="29"/>
      <c r="O14" s="29"/>
      <c r="P14" s="29"/>
      <c r="Q14" s="29"/>
      <c r="R14" s="29"/>
      <c r="S14" s="29"/>
      <c r="T14" s="29"/>
      <c r="U14" s="29"/>
      <c r="V14" s="29"/>
      <c r="W14" s="29"/>
      <c r="X14" s="29"/>
      <c r="Y14" s="29"/>
      <c r="Z14" s="29"/>
    </row>
    <row r="15" spans="1:26" ht="14.25" customHeight="1" x14ac:dyDescent="0.3">
      <c r="A15" s="31"/>
      <c r="B15" s="31"/>
      <c r="C15" s="31"/>
      <c r="D15" s="31"/>
      <c r="E15" s="31"/>
      <c r="F15" s="31"/>
      <c r="G15" s="29"/>
      <c r="H15" s="29"/>
      <c r="I15" s="29"/>
      <c r="J15" s="29"/>
      <c r="K15" s="29"/>
      <c r="L15" s="29"/>
      <c r="M15" s="29"/>
      <c r="N15" s="29"/>
      <c r="O15" s="29"/>
      <c r="P15" s="29"/>
      <c r="Q15" s="29"/>
      <c r="R15" s="29"/>
      <c r="S15" s="29"/>
      <c r="T15" s="29"/>
      <c r="U15" s="29"/>
      <c r="V15" s="29"/>
      <c r="W15" s="29"/>
      <c r="X15" s="29"/>
      <c r="Y15" s="29"/>
      <c r="Z15" s="29"/>
    </row>
    <row r="16" spans="1:26" ht="14.25" customHeight="1" x14ac:dyDescent="0.3">
      <c r="A16" s="31"/>
      <c r="B16" s="31"/>
      <c r="C16" s="31"/>
      <c r="D16" s="31"/>
      <c r="E16" s="31"/>
      <c r="F16" s="31"/>
      <c r="G16" s="29"/>
      <c r="H16" s="29"/>
      <c r="I16" s="29"/>
      <c r="J16" s="29"/>
      <c r="K16" s="29"/>
      <c r="L16" s="29"/>
      <c r="M16" s="29"/>
      <c r="N16" s="29"/>
      <c r="O16" s="29"/>
      <c r="P16" s="29"/>
      <c r="Q16" s="29"/>
      <c r="R16" s="29"/>
      <c r="S16" s="29"/>
      <c r="T16" s="29"/>
      <c r="U16" s="29"/>
      <c r="V16" s="29"/>
      <c r="W16" s="29"/>
      <c r="X16" s="29"/>
      <c r="Y16" s="29"/>
      <c r="Z16" s="29"/>
    </row>
    <row r="17" spans="1:26" ht="14.25" customHeight="1" x14ac:dyDescent="0.3">
      <c r="A17" s="31"/>
      <c r="B17" s="31"/>
      <c r="C17" s="31"/>
      <c r="D17" s="31"/>
      <c r="E17" s="31"/>
      <c r="F17" s="31"/>
      <c r="G17" s="29"/>
      <c r="H17" s="29"/>
      <c r="I17" s="29"/>
      <c r="J17" s="29"/>
      <c r="K17" s="29"/>
      <c r="L17" s="29"/>
      <c r="M17" s="29"/>
      <c r="N17" s="29"/>
      <c r="O17" s="29"/>
      <c r="P17" s="29"/>
      <c r="Q17" s="29"/>
      <c r="R17" s="29"/>
      <c r="S17" s="29"/>
      <c r="T17" s="29"/>
      <c r="U17" s="29"/>
      <c r="V17" s="29"/>
      <c r="W17" s="29"/>
      <c r="X17" s="29"/>
      <c r="Y17" s="29"/>
      <c r="Z17" s="29"/>
    </row>
    <row r="18" spans="1:26" ht="14.25" customHeight="1" x14ac:dyDescent="0.3">
      <c r="A18" s="31"/>
      <c r="B18" s="31"/>
      <c r="C18" s="31"/>
      <c r="D18" s="31"/>
      <c r="E18" s="31"/>
      <c r="F18" s="31"/>
      <c r="G18" s="29"/>
      <c r="H18" s="29"/>
      <c r="I18" s="29"/>
      <c r="J18" s="29"/>
      <c r="K18" s="29"/>
      <c r="L18" s="29"/>
      <c r="M18" s="29"/>
      <c r="N18" s="29"/>
      <c r="O18" s="29"/>
      <c r="P18" s="29"/>
      <c r="Q18" s="29"/>
      <c r="R18" s="29"/>
      <c r="S18" s="29"/>
      <c r="T18" s="29"/>
      <c r="U18" s="29"/>
      <c r="V18" s="29"/>
      <c r="W18" s="29"/>
      <c r="X18" s="29"/>
      <c r="Y18" s="29"/>
      <c r="Z18" s="29"/>
    </row>
    <row r="19" spans="1:26" ht="14.25" customHeight="1" x14ac:dyDescent="0.3">
      <c r="A19" s="31"/>
      <c r="B19" s="31"/>
      <c r="C19" s="31"/>
      <c r="D19" s="31"/>
      <c r="E19" s="31"/>
      <c r="F19" s="31"/>
      <c r="G19" s="29"/>
      <c r="H19" s="29"/>
      <c r="I19" s="29"/>
      <c r="J19" s="29"/>
      <c r="K19" s="29"/>
      <c r="L19" s="29"/>
      <c r="M19" s="29"/>
      <c r="N19" s="29"/>
      <c r="O19" s="29"/>
      <c r="P19" s="29"/>
      <c r="Q19" s="29"/>
      <c r="R19" s="29"/>
      <c r="S19" s="29"/>
      <c r="T19" s="29"/>
      <c r="U19" s="29"/>
      <c r="V19" s="29"/>
      <c r="W19" s="29"/>
      <c r="X19" s="29"/>
      <c r="Y19" s="29"/>
      <c r="Z19" s="29"/>
    </row>
    <row r="20" spans="1:26" ht="14.25" customHeight="1" x14ac:dyDescent="0.3">
      <c r="A20" s="31"/>
      <c r="B20" s="31"/>
      <c r="C20" s="31"/>
      <c r="D20" s="31"/>
      <c r="E20" s="31"/>
      <c r="F20" s="31"/>
      <c r="G20" s="29"/>
      <c r="H20" s="29"/>
      <c r="I20" s="29"/>
      <c r="J20" s="29"/>
      <c r="K20" s="29"/>
      <c r="L20" s="29"/>
      <c r="M20" s="29"/>
      <c r="N20" s="29"/>
      <c r="O20" s="29"/>
      <c r="P20" s="29"/>
      <c r="Q20" s="29"/>
      <c r="R20" s="29"/>
      <c r="S20" s="29"/>
      <c r="T20" s="29"/>
      <c r="U20" s="29"/>
      <c r="V20" s="29"/>
      <c r="W20" s="29"/>
      <c r="X20" s="29"/>
      <c r="Y20" s="29"/>
      <c r="Z20" s="29"/>
    </row>
    <row r="21" spans="1:26" ht="14.25" customHeight="1" x14ac:dyDescent="0.3">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spans="1:26" ht="14.25" customHeight="1" x14ac:dyDescent="0.3">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spans="1:26" ht="14.25" customHeight="1" x14ac:dyDescent="0.3">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spans="1:26" ht="14.25" customHeight="1" x14ac:dyDescent="0.3">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spans="1:26" ht="14.25" customHeight="1" x14ac:dyDescent="0.3">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spans="1:26" ht="14.25" customHeight="1" x14ac:dyDescent="0.3">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spans="1:26" ht="14.25" customHeight="1" x14ac:dyDescent="0.3">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spans="1:26" ht="14.25" customHeight="1" x14ac:dyDescent="0.3">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spans="1:26" ht="14.25" customHeight="1" x14ac:dyDescent="0.3">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spans="1:26" ht="14.25" customHeight="1" x14ac:dyDescent="0.3">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spans="1:26" ht="14.25" customHeight="1" x14ac:dyDescent="0.3">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spans="1:26" ht="14.25" customHeight="1" x14ac:dyDescent="0.3">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spans="1:26" ht="14.25" customHeight="1" x14ac:dyDescent="0.3">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spans="1:26" ht="14.25" customHeight="1" x14ac:dyDescent="0.3">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spans="1:26" ht="14.25" customHeight="1" x14ac:dyDescent="0.3">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spans="1:26" ht="14.25" customHeight="1" x14ac:dyDescent="0.3">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spans="1:26" ht="14.25" customHeight="1" x14ac:dyDescent="0.3">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spans="1:26" ht="14.25" customHeight="1" x14ac:dyDescent="0.3">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spans="1:26" ht="14.25" customHeight="1" x14ac:dyDescent="0.3">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spans="1:26" ht="14.25" customHeight="1" x14ac:dyDescent="0.3">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spans="1:26" ht="14.25" customHeight="1" x14ac:dyDescent="0.3">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spans="1:26" ht="14.25" customHeight="1" x14ac:dyDescent="0.3">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spans="1:26" ht="14.25" customHeight="1" x14ac:dyDescent="0.3">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spans="1:26" ht="14.25" customHeight="1" x14ac:dyDescent="0.3">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spans="1:26" ht="14.25" customHeight="1" x14ac:dyDescent="0.3">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spans="1:26" ht="14.25" customHeight="1" x14ac:dyDescent="0.3">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spans="1:26" ht="14.25" customHeight="1" x14ac:dyDescent="0.3">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spans="1:26" ht="14.25" customHeight="1" x14ac:dyDescent="0.3">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spans="1:26" ht="14.25" customHeight="1" x14ac:dyDescent="0.3">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spans="1:26" ht="14.25" customHeight="1" x14ac:dyDescent="0.3">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spans="1:26" ht="14.25" customHeight="1" x14ac:dyDescent="0.3">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spans="1:26" ht="14.25" customHeight="1" x14ac:dyDescent="0.3">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spans="1:26" ht="14.25" customHeight="1" x14ac:dyDescent="0.3">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spans="1:26" ht="14.25" customHeight="1" x14ac:dyDescent="0.3">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spans="1:26" ht="14.25" customHeight="1" x14ac:dyDescent="0.3">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spans="1:26" ht="14.25" customHeight="1" x14ac:dyDescent="0.3">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spans="1:26" ht="14.25" customHeight="1" x14ac:dyDescent="0.3">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spans="1:26" ht="14.25" customHeight="1" x14ac:dyDescent="0.3">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spans="1:26" ht="14.25" customHeight="1" x14ac:dyDescent="0.3">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spans="1:26" ht="14.25" customHeight="1" x14ac:dyDescent="0.3">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spans="1:26" ht="14.25" customHeight="1" x14ac:dyDescent="0.3">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spans="1:26" ht="14.25" customHeight="1" x14ac:dyDescent="0.3">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spans="1:26" ht="14.25" customHeight="1" x14ac:dyDescent="0.3">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spans="1:26" ht="14.25" customHeight="1" x14ac:dyDescent="0.3">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spans="1:26" ht="14.25" customHeight="1" x14ac:dyDescent="0.3">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spans="1:26" ht="14.25" customHeight="1" x14ac:dyDescent="0.3">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spans="1:26" ht="14.25" customHeight="1" x14ac:dyDescent="0.3">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spans="1:26" ht="14.25" customHeight="1" x14ac:dyDescent="0.3">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spans="1:26" ht="14.25" customHeight="1" x14ac:dyDescent="0.3">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spans="1:26" ht="14.25" customHeight="1" x14ac:dyDescent="0.3">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spans="1:26" ht="14.25" customHeight="1" x14ac:dyDescent="0.3">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spans="1:26" ht="14.25" customHeight="1" x14ac:dyDescent="0.3">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spans="1:26" ht="14.25" customHeight="1" x14ac:dyDescent="0.3">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spans="1:26" ht="14.25" customHeight="1" x14ac:dyDescent="0.3">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spans="1:26" ht="14.25" customHeight="1" x14ac:dyDescent="0.3">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spans="1:26" ht="14.25" customHeight="1" x14ac:dyDescent="0.3">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spans="1:26" ht="14.25" customHeight="1" x14ac:dyDescent="0.3">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spans="1:26" ht="14.25" customHeight="1" x14ac:dyDescent="0.3">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spans="1:26" ht="14.25" customHeight="1" x14ac:dyDescent="0.3">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spans="1:26" ht="14.25" customHeight="1" x14ac:dyDescent="0.3">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spans="1:26" ht="14.25" customHeight="1" x14ac:dyDescent="0.3">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spans="1:26" ht="14.25" customHeight="1" x14ac:dyDescent="0.3">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spans="1:26" ht="14.25" customHeight="1" x14ac:dyDescent="0.3">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spans="1:26" ht="14.25" customHeight="1" x14ac:dyDescent="0.3">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spans="1:26" ht="14.25" customHeight="1" x14ac:dyDescent="0.3">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spans="1:26" ht="14.25" customHeight="1" x14ac:dyDescent="0.3">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spans="1:26" ht="14.25" customHeight="1" x14ac:dyDescent="0.3">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spans="1:26" ht="14.25" customHeight="1" x14ac:dyDescent="0.3">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spans="1:26" ht="14.25" customHeight="1" x14ac:dyDescent="0.3">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spans="1:26" ht="14.25" customHeight="1" x14ac:dyDescent="0.3">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spans="1:26" ht="14.25" customHeight="1" x14ac:dyDescent="0.3">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spans="1:26" ht="14.25" customHeight="1" x14ac:dyDescent="0.3">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spans="1:26" ht="14.25" customHeight="1" x14ac:dyDescent="0.3">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spans="1:26" ht="14.25" customHeight="1" x14ac:dyDescent="0.3">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spans="1:26" ht="14.25" customHeight="1" x14ac:dyDescent="0.3">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spans="1:26" ht="14.25" customHeight="1" x14ac:dyDescent="0.3">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spans="1:26" ht="14.25" customHeight="1" x14ac:dyDescent="0.3">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spans="1:26" ht="14.25" customHeight="1" x14ac:dyDescent="0.3">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spans="1:26" ht="14.25" customHeight="1" x14ac:dyDescent="0.3">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spans="1:26" ht="14.25" customHeight="1" x14ac:dyDescent="0.3">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spans="1:26" ht="14.25" customHeight="1" x14ac:dyDescent="0.3">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spans="1:26" ht="14.25" customHeight="1" x14ac:dyDescent="0.3">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spans="1:26" ht="14.25" customHeight="1" x14ac:dyDescent="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spans="1:26" ht="14.25" customHeight="1" x14ac:dyDescent="0.3">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spans="1:26" ht="14.25" customHeight="1" x14ac:dyDescent="0.3">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spans="1:26" ht="14.25" customHeight="1" x14ac:dyDescent="0.3">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spans="1:26" ht="14.25" customHeight="1" x14ac:dyDescent="0.3">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spans="1:26" ht="14.25" customHeight="1" x14ac:dyDescent="0.3">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spans="1:26" ht="14.25" customHeight="1" x14ac:dyDescent="0.3">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spans="1:26" ht="14.25" customHeight="1" x14ac:dyDescent="0.3">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spans="1:26" ht="14.25" customHeight="1" x14ac:dyDescent="0.3">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spans="1:26" ht="14.25" customHeight="1" x14ac:dyDescent="0.3">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spans="1:26" ht="14.25" customHeight="1" x14ac:dyDescent="0.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spans="1:26" ht="14.25" customHeight="1" x14ac:dyDescent="0.3">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spans="1:26" ht="14.25" customHeight="1" x14ac:dyDescent="0.3">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spans="1:26" ht="14.25" customHeight="1" x14ac:dyDescent="0.3">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spans="1:26" ht="14.25" customHeight="1" x14ac:dyDescent="0.3">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spans="1:26" ht="14.25" customHeight="1" x14ac:dyDescent="0.3">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spans="1:26" ht="14.25" customHeight="1" x14ac:dyDescent="0.3">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spans="1:26" ht="14.25" customHeight="1" x14ac:dyDescent="0.3">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spans="1:26" ht="14.25" customHeight="1" x14ac:dyDescent="0.3">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spans="1:26" ht="14.25" customHeight="1" x14ac:dyDescent="0.3">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spans="1:26" ht="14.25" customHeight="1" x14ac:dyDescent="0.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spans="1:26" ht="14.25" customHeight="1" x14ac:dyDescent="0.3">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spans="1:26" ht="14.25" customHeight="1" x14ac:dyDescent="0.3">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spans="1:26" ht="14.25" customHeight="1" x14ac:dyDescent="0.3">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spans="1:26" ht="14.25" customHeight="1" x14ac:dyDescent="0.3">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spans="1:26" ht="14.25" customHeight="1" x14ac:dyDescent="0.3">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spans="1:26" ht="14.25" customHeight="1" x14ac:dyDescent="0.3">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spans="1:26" ht="14.25" customHeight="1" x14ac:dyDescent="0.3">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spans="1:26" ht="14.25" customHeight="1" x14ac:dyDescent="0.3">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spans="1:26" ht="14.25" customHeight="1" x14ac:dyDescent="0.3">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spans="1:26" ht="14.25" customHeight="1" x14ac:dyDescent="0.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spans="1:26" ht="14.25" customHeight="1" x14ac:dyDescent="0.3">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spans="1:26" ht="14.25" customHeight="1" x14ac:dyDescent="0.3">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spans="1:26" ht="14.25" customHeight="1" x14ac:dyDescent="0.3">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spans="1:26" ht="14.25" customHeight="1" x14ac:dyDescent="0.3">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spans="1:26" ht="14.25" customHeight="1" x14ac:dyDescent="0.3">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spans="1:26" ht="14.25" customHeight="1" x14ac:dyDescent="0.3">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spans="1:26" ht="14.25" customHeight="1" x14ac:dyDescent="0.3">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spans="1:26" ht="14.25" customHeight="1" x14ac:dyDescent="0.3">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spans="1:26" ht="14.25" customHeight="1" x14ac:dyDescent="0.3">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spans="1:26" ht="14.25" customHeight="1" x14ac:dyDescent="0.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spans="1:26" ht="14.25" customHeight="1" x14ac:dyDescent="0.3">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spans="1:26" ht="14.25" customHeight="1" x14ac:dyDescent="0.3">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spans="1:26" ht="14.25" customHeight="1" x14ac:dyDescent="0.3">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spans="1:26" ht="14.25" customHeight="1" x14ac:dyDescent="0.3">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spans="1:26" ht="14.25" customHeight="1" x14ac:dyDescent="0.3">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spans="1:26" ht="14.25" customHeight="1" x14ac:dyDescent="0.3">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spans="1:26" ht="14.25" customHeight="1" x14ac:dyDescent="0.3">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spans="1:26" ht="14.25" customHeight="1" x14ac:dyDescent="0.3">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spans="1:26" ht="14.25" customHeight="1" x14ac:dyDescent="0.3">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spans="1:26" ht="14.25" customHeight="1" x14ac:dyDescent="0.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spans="1:26" ht="14.25" customHeight="1" x14ac:dyDescent="0.3">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spans="1:26" ht="14.25" customHeight="1" x14ac:dyDescent="0.3">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spans="1:26" ht="14.25" customHeight="1" x14ac:dyDescent="0.3">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spans="1:26" ht="14.25" customHeight="1" x14ac:dyDescent="0.3">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spans="1:26" ht="14.25" customHeight="1" x14ac:dyDescent="0.3">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spans="1:26" ht="14.25" customHeight="1" x14ac:dyDescent="0.3">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spans="1:26" ht="14.25" customHeight="1" x14ac:dyDescent="0.3">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spans="1:26" ht="14.25" customHeight="1" x14ac:dyDescent="0.3">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spans="1:26" ht="14.25" customHeight="1" x14ac:dyDescent="0.3">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spans="1:26" ht="14.25" customHeight="1" x14ac:dyDescent="0.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spans="1:26" ht="14.25" customHeight="1" x14ac:dyDescent="0.3">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spans="1:26" ht="14.25" customHeight="1" x14ac:dyDescent="0.3">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spans="1:26" ht="14.25" customHeight="1" x14ac:dyDescent="0.3">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spans="1:26" ht="14.25" customHeight="1" x14ac:dyDescent="0.3">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spans="1:26" ht="14.25" customHeight="1" x14ac:dyDescent="0.3">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spans="1:26" ht="14.25" customHeight="1" x14ac:dyDescent="0.3">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spans="1:26" ht="14.25" customHeight="1" x14ac:dyDescent="0.3">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spans="1:26" ht="14.25" customHeight="1" x14ac:dyDescent="0.3">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spans="1:26" ht="14.25" customHeight="1" x14ac:dyDescent="0.3">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spans="1:26" ht="14.25" customHeight="1" x14ac:dyDescent="0.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spans="1:26" ht="14.25" customHeight="1" x14ac:dyDescent="0.3">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spans="1:26" ht="14.25" customHeight="1" x14ac:dyDescent="0.3">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spans="1:26" ht="14.25" customHeight="1" x14ac:dyDescent="0.3">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spans="1:26" ht="14.25" customHeight="1" x14ac:dyDescent="0.3">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spans="1:26" ht="14.25" customHeight="1" x14ac:dyDescent="0.3">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spans="1:26" ht="14.25" customHeight="1" x14ac:dyDescent="0.3">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spans="1:26" ht="14.25" customHeight="1" x14ac:dyDescent="0.3">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spans="1:26" ht="14.25" customHeight="1" x14ac:dyDescent="0.3">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spans="1:26" ht="14.25" customHeight="1" x14ac:dyDescent="0.3">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spans="1:26" ht="14.25" customHeight="1" x14ac:dyDescent="0.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spans="1:26" ht="14.25" customHeight="1" x14ac:dyDescent="0.3">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spans="1:26" ht="14.25" customHeight="1" x14ac:dyDescent="0.3">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spans="1:26" ht="14.25" customHeight="1" x14ac:dyDescent="0.3">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spans="1:26" ht="14.25" customHeight="1" x14ac:dyDescent="0.3">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spans="1:26" ht="14.25" customHeight="1" x14ac:dyDescent="0.3">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spans="1:26" ht="14.25" customHeight="1" x14ac:dyDescent="0.3">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spans="1:26" ht="14.25" customHeight="1" x14ac:dyDescent="0.3">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spans="1:26" ht="14.25" customHeight="1" x14ac:dyDescent="0.3">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spans="1:26" ht="14.25" customHeight="1" x14ac:dyDescent="0.3">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spans="1:26" ht="14.25" customHeight="1" x14ac:dyDescent="0.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spans="1:26" ht="14.25" customHeight="1" x14ac:dyDescent="0.3">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spans="1:26" ht="14.25" customHeight="1" x14ac:dyDescent="0.3">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spans="1:26" ht="14.25" customHeight="1" x14ac:dyDescent="0.3">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spans="1:26" ht="14.25" customHeight="1" x14ac:dyDescent="0.3">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spans="1:26" ht="14.25" customHeight="1" x14ac:dyDescent="0.3">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spans="1:26" ht="14.25" customHeight="1" x14ac:dyDescent="0.3">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spans="1:26" ht="14.25" customHeight="1" x14ac:dyDescent="0.3">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spans="1:26" ht="14.25" customHeight="1" x14ac:dyDescent="0.3">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spans="1:26" ht="14.25" customHeight="1" x14ac:dyDescent="0.3">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spans="1:26" ht="14.25" customHeight="1" x14ac:dyDescent="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spans="1:26" ht="14.25" customHeight="1" x14ac:dyDescent="0.3">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spans="1:26" ht="14.25" customHeight="1" x14ac:dyDescent="0.3">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spans="1:26" ht="14.25" customHeight="1" x14ac:dyDescent="0.3">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spans="1:26" ht="14.25" customHeight="1" x14ac:dyDescent="0.3">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spans="1:26" ht="14.25" customHeight="1" x14ac:dyDescent="0.3">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spans="1:26" ht="14.25" customHeight="1" x14ac:dyDescent="0.3">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spans="1:26" ht="14.25" customHeight="1" x14ac:dyDescent="0.3">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spans="1:26" ht="14.25" customHeight="1" x14ac:dyDescent="0.3">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spans="1:26" ht="14.25" customHeight="1" x14ac:dyDescent="0.3">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spans="1:26" ht="14.25" customHeight="1" x14ac:dyDescent="0.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spans="1:26" ht="14.25" customHeight="1" x14ac:dyDescent="0.3">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spans="1:26" ht="14.25" customHeight="1" x14ac:dyDescent="0.3">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spans="1:26" ht="14.25" customHeight="1" x14ac:dyDescent="0.3">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spans="1:26" ht="14.25" customHeight="1" x14ac:dyDescent="0.3">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spans="1:26" ht="14.25" customHeight="1" x14ac:dyDescent="0.3">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spans="1:26" ht="14.25" customHeight="1" x14ac:dyDescent="0.3">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spans="1:26" ht="14.25" customHeight="1" x14ac:dyDescent="0.3">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spans="1:26" ht="14.25" customHeight="1" x14ac:dyDescent="0.3">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spans="1:26" ht="14.25" customHeight="1" x14ac:dyDescent="0.3">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spans="1:26" ht="14.25" customHeight="1" x14ac:dyDescent="0.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spans="1:26" ht="14.25" customHeight="1" x14ac:dyDescent="0.3">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spans="1:26" ht="14.25" customHeight="1" x14ac:dyDescent="0.3">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spans="1:26" ht="14.25" customHeight="1" x14ac:dyDescent="0.3">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spans="1:26" ht="14.25" customHeight="1" x14ac:dyDescent="0.3">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spans="1:26" ht="14.25" customHeight="1" x14ac:dyDescent="0.3">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spans="1:26" ht="14.25" customHeight="1" x14ac:dyDescent="0.3">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spans="1:26" ht="14.25" customHeight="1" x14ac:dyDescent="0.3">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spans="1:26" ht="14.25" customHeight="1" x14ac:dyDescent="0.3">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spans="1:26" ht="14.25" customHeight="1" x14ac:dyDescent="0.3">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spans="1:26" ht="14.25" customHeight="1" x14ac:dyDescent="0.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spans="1:26" ht="14.25" customHeight="1" x14ac:dyDescent="0.3">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spans="1:26" ht="14.25" customHeight="1" x14ac:dyDescent="0.3">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spans="1:26" ht="14.25" customHeight="1" x14ac:dyDescent="0.3">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spans="1:26" ht="14.25" customHeight="1" x14ac:dyDescent="0.3">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spans="1:26" ht="14.25" customHeight="1" x14ac:dyDescent="0.3">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spans="1:26" ht="14.25" customHeight="1" x14ac:dyDescent="0.3">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spans="1:26" ht="14.25" customHeight="1" x14ac:dyDescent="0.3">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spans="1:26" ht="14.25" customHeight="1" x14ac:dyDescent="0.3">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spans="1:26" ht="14.25" customHeight="1" x14ac:dyDescent="0.3">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spans="1:26" ht="14.25" customHeight="1" x14ac:dyDescent="0.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spans="1:26" ht="14.25" customHeight="1" x14ac:dyDescent="0.3">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spans="1:26" ht="14.25" customHeight="1" x14ac:dyDescent="0.3">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spans="1:26" ht="14.25" customHeight="1" x14ac:dyDescent="0.3">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spans="1:26" ht="14.25" customHeight="1" x14ac:dyDescent="0.3">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spans="1:26" ht="14.25" customHeight="1" x14ac:dyDescent="0.3">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spans="1:26" ht="14.25" customHeight="1" x14ac:dyDescent="0.3">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spans="1:26" ht="14.25" customHeight="1" x14ac:dyDescent="0.3">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spans="1:26" ht="14.25" customHeight="1" x14ac:dyDescent="0.3">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spans="1:26" ht="14.25" customHeight="1" x14ac:dyDescent="0.3">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spans="1:26" ht="14.25" customHeight="1" x14ac:dyDescent="0.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spans="1:26" ht="14.25" customHeight="1" x14ac:dyDescent="0.3">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spans="1:26" ht="14.25" customHeight="1" x14ac:dyDescent="0.3">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spans="1:26" ht="14.25" customHeight="1" x14ac:dyDescent="0.3">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spans="1:26" ht="14.25" customHeight="1" x14ac:dyDescent="0.3">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spans="1:26" ht="14.25" customHeight="1" x14ac:dyDescent="0.3">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spans="1:26" ht="14.25" customHeight="1" x14ac:dyDescent="0.3">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spans="1:26" ht="14.25" customHeight="1" x14ac:dyDescent="0.3">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spans="1:26" ht="14.25" customHeight="1" x14ac:dyDescent="0.3">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spans="1:26" ht="14.25" customHeight="1" x14ac:dyDescent="0.3">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spans="1:26" ht="14.25" customHeight="1" x14ac:dyDescent="0.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spans="1:26" ht="14.25" customHeight="1" x14ac:dyDescent="0.3">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spans="1:26" ht="14.25" customHeight="1" x14ac:dyDescent="0.3">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spans="1:26" ht="14.25" customHeight="1" x14ac:dyDescent="0.3">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spans="1:26" ht="14.25" customHeight="1" x14ac:dyDescent="0.3">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spans="1:26" ht="14.25" customHeight="1" x14ac:dyDescent="0.3">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spans="1:26" ht="14.25" customHeight="1" x14ac:dyDescent="0.3">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spans="1:26" ht="14.25" customHeight="1" x14ac:dyDescent="0.3">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spans="1:26" ht="14.25" customHeight="1" x14ac:dyDescent="0.3">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spans="1:26" ht="14.25" customHeight="1" x14ac:dyDescent="0.3">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spans="1:26" ht="14.25" customHeight="1" x14ac:dyDescent="0.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spans="1:26" ht="14.25" customHeight="1" x14ac:dyDescent="0.3">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spans="1:26" ht="14.25" customHeight="1" x14ac:dyDescent="0.3">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spans="1:26" ht="14.25" customHeight="1" x14ac:dyDescent="0.3">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spans="1:26" ht="14.25" customHeight="1" x14ac:dyDescent="0.3">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spans="1:26" ht="14.25" customHeight="1" x14ac:dyDescent="0.3">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spans="1:26" ht="14.25" customHeight="1" x14ac:dyDescent="0.3">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spans="1:26" ht="14.25" customHeight="1" x14ac:dyDescent="0.3">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spans="1:26" ht="14.25" customHeight="1" x14ac:dyDescent="0.3">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spans="1:26" ht="14.25" customHeight="1" x14ac:dyDescent="0.3">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spans="1:26" ht="14.25" customHeight="1" x14ac:dyDescent="0.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spans="1:26" ht="14.25" customHeight="1" x14ac:dyDescent="0.3">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spans="1:26" ht="14.25" customHeight="1" x14ac:dyDescent="0.3">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spans="1:26" ht="14.25" customHeight="1" x14ac:dyDescent="0.3">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spans="1:26" ht="14.25" customHeight="1" x14ac:dyDescent="0.3">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spans="1:26" ht="14.25" customHeight="1" x14ac:dyDescent="0.3">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spans="1:26" ht="14.25" customHeight="1" x14ac:dyDescent="0.3">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spans="1:26" ht="14.25" customHeight="1" x14ac:dyDescent="0.3">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spans="1:26" ht="14.25" customHeight="1" x14ac:dyDescent="0.3">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spans="1:26" ht="14.25" customHeight="1" x14ac:dyDescent="0.3">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spans="1:26" ht="14.25" customHeight="1" x14ac:dyDescent="0.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spans="1:26" ht="14.25" customHeight="1" x14ac:dyDescent="0.3">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spans="1:26" ht="14.25" customHeight="1" x14ac:dyDescent="0.3">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spans="1:26" ht="14.25" customHeight="1" x14ac:dyDescent="0.3">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spans="1:26" ht="14.25" customHeight="1" x14ac:dyDescent="0.3">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spans="1:26" ht="14.25" customHeight="1" x14ac:dyDescent="0.3">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spans="1:26" ht="14.25" customHeight="1" x14ac:dyDescent="0.3">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spans="1:26" ht="14.25" customHeight="1" x14ac:dyDescent="0.3">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spans="1:26" ht="14.25" customHeight="1" x14ac:dyDescent="0.3">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spans="1:26" ht="14.25" customHeight="1" x14ac:dyDescent="0.3">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spans="1:26" ht="14.25" customHeight="1" x14ac:dyDescent="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spans="1:26" ht="14.25" customHeight="1" x14ac:dyDescent="0.3">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spans="1:26" ht="14.25" customHeight="1" x14ac:dyDescent="0.3">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spans="1:26" ht="14.25" customHeight="1" x14ac:dyDescent="0.3">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spans="1:26" ht="14.25" customHeight="1" x14ac:dyDescent="0.3">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spans="1:26" ht="14.25" customHeight="1" x14ac:dyDescent="0.3">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spans="1:26" ht="14.25" customHeight="1" x14ac:dyDescent="0.3">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spans="1:26" ht="14.25" customHeight="1" x14ac:dyDescent="0.3">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spans="1:26" ht="14.25" customHeight="1" x14ac:dyDescent="0.3">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spans="1:26" ht="14.25" customHeight="1" x14ac:dyDescent="0.3">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spans="1:26" ht="14.25" customHeight="1" x14ac:dyDescent="0.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spans="1:26" ht="14.25" customHeight="1" x14ac:dyDescent="0.3">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spans="1:26" ht="14.25" customHeight="1" x14ac:dyDescent="0.3">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spans="1:26" ht="14.25" customHeight="1" x14ac:dyDescent="0.3">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spans="1:26" ht="14.25" customHeight="1" x14ac:dyDescent="0.3">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spans="1:26" ht="14.25" customHeight="1" x14ac:dyDescent="0.3">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spans="1:26" ht="14.25" customHeight="1" x14ac:dyDescent="0.3">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spans="1:26" ht="14.25" customHeight="1" x14ac:dyDescent="0.3">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spans="1:26" ht="14.25" customHeight="1" x14ac:dyDescent="0.3">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spans="1:26" ht="14.25" customHeight="1" x14ac:dyDescent="0.3">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spans="1:26" ht="14.25" customHeight="1" x14ac:dyDescent="0.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spans="1:26" ht="14.25" customHeight="1" x14ac:dyDescent="0.3">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spans="1:26" ht="14.25" customHeight="1" x14ac:dyDescent="0.3">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spans="1:26" ht="14.25" customHeight="1" x14ac:dyDescent="0.3">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spans="1:26" ht="14.25" customHeight="1" x14ac:dyDescent="0.3">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spans="1:26" ht="14.25" customHeight="1" x14ac:dyDescent="0.3">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spans="1:26" ht="14.25" customHeight="1" x14ac:dyDescent="0.3">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spans="1:26" ht="14.25" customHeight="1" x14ac:dyDescent="0.3">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spans="1:26" ht="14.25" customHeight="1" x14ac:dyDescent="0.3">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spans="1:26" ht="14.25" customHeight="1" x14ac:dyDescent="0.3">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spans="1:26" ht="14.25" customHeight="1" x14ac:dyDescent="0.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spans="1:26" ht="14.25" customHeight="1" x14ac:dyDescent="0.3">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spans="1:26" ht="14.25" customHeight="1" x14ac:dyDescent="0.3">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spans="1:26" ht="14.25" customHeight="1" x14ac:dyDescent="0.3">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spans="1:26" ht="14.25" customHeight="1" x14ac:dyDescent="0.3">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spans="1:26" ht="14.25" customHeight="1" x14ac:dyDescent="0.3">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spans="1:26" ht="14.25" customHeight="1" x14ac:dyDescent="0.3">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spans="1:26" ht="14.25" customHeight="1" x14ac:dyDescent="0.3">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spans="1:26" ht="14.25" customHeight="1" x14ac:dyDescent="0.3">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spans="1:26" ht="14.25" customHeight="1" x14ac:dyDescent="0.3">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spans="1:26" ht="14.25" customHeight="1" x14ac:dyDescent="0.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spans="1:26" ht="14.25" customHeight="1" x14ac:dyDescent="0.3">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spans="1:26" ht="14.25" customHeight="1" x14ac:dyDescent="0.3">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spans="1:26" ht="14.25" customHeight="1" x14ac:dyDescent="0.3">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spans="1:26" ht="14.25" customHeight="1" x14ac:dyDescent="0.3">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spans="1:26" ht="14.25" customHeight="1" x14ac:dyDescent="0.3">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spans="1:26" ht="14.25" customHeight="1" x14ac:dyDescent="0.3">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spans="1:26" ht="14.25" customHeight="1" x14ac:dyDescent="0.3">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spans="1:26" ht="14.25" customHeight="1" x14ac:dyDescent="0.3">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spans="1:26" ht="14.25" customHeight="1" x14ac:dyDescent="0.3">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spans="1:26" ht="14.25" customHeight="1" x14ac:dyDescent="0.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spans="1:26" ht="14.25" customHeight="1" x14ac:dyDescent="0.3">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spans="1:26" ht="14.25" customHeight="1" x14ac:dyDescent="0.3">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spans="1:26" ht="14.25" customHeight="1" x14ac:dyDescent="0.3">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spans="1:26" ht="14.25" customHeight="1" x14ac:dyDescent="0.3">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spans="1:26" ht="14.25" customHeight="1" x14ac:dyDescent="0.3">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spans="1:26" ht="14.25" customHeight="1" x14ac:dyDescent="0.3">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spans="1:26" ht="14.25" customHeight="1" x14ac:dyDescent="0.3">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spans="1:26" ht="14.25" customHeight="1" x14ac:dyDescent="0.3">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spans="1:26" ht="14.25" customHeight="1" x14ac:dyDescent="0.3">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spans="1:26" ht="14.25" customHeight="1" x14ac:dyDescent="0.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spans="1:26" ht="14.25" customHeight="1" x14ac:dyDescent="0.3">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spans="1:26" ht="14.25" customHeight="1" x14ac:dyDescent="0.3">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spans="1:26" ht="14.25" customHeight="1" x14ac:dyDescent="0.3">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spans="1:26" ht="14.25" customHeight="1" x14ac:dyDescent="0.3">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spans="1:26" ht="14.25" customHeight="1" x14ac:dyDescent="0.3">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spans="1:26" ht="14.25" customHeight="1" x14ac:dyDescent="0.3">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spans="1:26" ht="14.25" customHeight="1" x14ac:dyDescent="0.3">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spans="1:26" ht="14.25" customHeight="1" x14ac:dyDescent="0.3">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spans="1:26" ht="14.25" customHeight="1" x14ac:dyDescent="0.3">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spans="1:26" ht="14.25" customHeight="1" x14ac:dyDescent="0.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spans="1:26" ht="14.25" customHeight="1" x14ac:dyDescent="0.3">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spans="1:26" ht="14.25" customHeight="1" x14ac:dyDescent="0.3">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spans="1:26" ht="14.25" customHeight="1" x14ac:dyDescent="0.3">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spans="1:26" ht="14.25" customHeight="1" x14ac:dyDescent="0.3">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spans="1:26" ht="14.25" customHeight="1" x14ac:dyDescent="0.3">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spans="1:26" ht="14.25" customHeight="1" x14ac:dyDescent="0.3">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spans="1:26" ht="14.25" customHeight="1" x14ac:dyDescent="0.3">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spans="1:26" ht="14.25" customHeight="1" x14ac:dyDescent="0.3">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spans="1:26" ht="14.25" customHeight="1" x14ac:dyDescent="0.3">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spans="1:26" ht="14.25" customHeight="1" x14ac:dyDescent="0.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spans="1:26" ht="14.25" customHeight="1" x14ac:dyDescent="0.3">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spans="1:26" ht="14.25" customHeight="1" x14ac:dyDescent="0.3">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spans="1:26" ht="14.25" customHeight="1" x14ac:dyDescent="0.3">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spans="1:26" ht="14.25" customHeight="1" x14ac:dyDescent="0.3">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spans="1:26" ht="14.25" customHeight="1" x14ac:dyDescent="0.3">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spans="1:26" ht="14.25" customHeight="1" x14ac:dyDescent="0.3">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spans="1:26" ht="14.25" customHeight="1" x14ac:dyDescent="0.3">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spans="1:26" ht="14.25" customHeight="1" x14ac:dyDescent="0.3">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spans="1:26" ht="14.25" customHeight="1" x14ac:dyDescent="0.3">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spans="1:26" ht="14.25" customHeight="1" x14ac:dyDescent="0.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spans="1:26" ht="14.25" customHeight="1" x14ac:dyDescent="0.3">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spans="1:26" ht="14.25" customHeight="1" x14ac:dyDescent="0.3">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spans="1:26" ht="14.25" customHeight="1" x14ac:dyDescent="0.3">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spans="1:26" ht="14.25" customHeight="1" x14ac:dyDescent="0.3">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spans="1:26" ht="14.25" customHeight="1" x14ac:dyDescent="0.3">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spans="1:26" ht="14.25" customHeight="1" x14ac:dyDescent="0.3">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spans="1:26" ht="14.25" customHeight="1" x14ac:dyDescent="0.3">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spans="1:26" ht="14.25" customHeight="1" x14ac:dyDescent="0.3">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spans="1:26" ht="14.25" customHeight="1" x14ac:dyDescent="0.3">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spans="1:26" ht="14.25" customHeight="1" x14ac:dyDescent="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spans="1:26" ht="14.25" customHeight="1" x14ac:dyDescent="0.3">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spans="1:26" ht="14.25" customHeight="1" x14ac:dyDescent="0.3">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spans="1:26" ht="14.25" customHeight="1" x14ac:dyDescent="0.3">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spans="1:26" ht="14.25" customHeight="1" x14ac:dyDescent="0.3">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spans="1:26" ht="14.25" customHeight="1" x14ac:dyDescent="0.3">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spans="1:26" ht="14.25" customHeight="1" x14ac:dyDescent="0.3">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spans="1:26" ht="14.25" customHeight="1" x14ac:dyDescent="0.3">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spans="1:26" ht="14.25" customHeight="1" x14ac:dyDescent="0.3">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spans="1:26" ht="14.25" customHeight="1" x14ac:dyDescent="0.3">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spans="1:26" ht="14.25" customHeight="1" x14ac:dyDescent="0.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spans="1:26" ht="14.25" customHeight="1" x14ac:dyDescent="0.3">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spans="1:26" ht="14.25" customHeight="1" x14ac:dyDescent="0.3">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spans="1:26" ht="14.25" customHeight="1" x14ac:dyDescent="0.3">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spans="1:26" ht="14.25" customHeight="1" x14ac:dyDescent="0.3">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spans="1:26" ht="14.25" customHeight="1" x14ac:dyDescent="0.3">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spans="1:26" ht="14.25" customHeight="1" x14ac:dyDescent="0.3">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spans="1:26" ht="14.25" customHeight="1" x14ac:dyDescent="0.3">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spans="1:26" ht="14.25" customHeight="1" x14ac:dyDescent="0.3">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spans="1:26" ht="14.25" customHeight="1" x14ac:dyDescent="0.3">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spans="1:26" ht="14.25" customHeight="1" x14ac:dyDescent="0.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spans="1:26" ht="14.25" customHeight="1" x14ac:dyDescent="0.3">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spans="1:26" ht="14.25" customHeight="1" x14ac:dyDescent="0.3">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spans="1:26" ht="14.25" customHeight="1" x14ac:dyDescent="0.3">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spans="1:26" ht="14.25" customHeight="1" x14ac:dyDescent="0.3">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spans="1:26" ht="14.25" customHeight="1" x14ac:dyDescent="0.3">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spans="1:26" ht="14.25" customHeight="1" x14ac:dyDescent="0.3">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spans="1:26" ht="14.25" customHeight="1" x14ac:dyDescent="0.3">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spans="1:26" ht="14.25" customHeight="1" x14ac:dyDescent="0.3">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spans="1:26" ht="14.25" customHeight="1" x14ac:dyDescent="0.3">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spans="1:26" ht="14.25" customHeight="1" x14ac:dyDescent="0.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spans="1:26" ht="14.25" customHeight="1" x14ac:dyDescent="0.3">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spans="1:26" ht="14.25" customHeight="1" x14ac:dyDescent="0.3">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spans="1:26" ht="14.25" customHeight="1" x14ac:dyDescent="0.3">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spans="1:26" ht="14.25" customHeight="1" x14ac:dyDescent="0.3">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spans="1:26" ht="14.25" customHeight="1" x14ac:dyDescent="0.3">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spans="1:26" ht="14.25" customHeight="1" x14ac:dyDescent="0.3">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spans="1:26" ht="14.25" customHeight="1" x14ac:dyDescent="0.3">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spans="1:26" ht="14.25" customHeight="1" x14ac:dyDescent="0.3">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spans="1:26" ht="14.25" customHeight="1" x14ac:dyDescent="0.3">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spans="1:26" ht="14.25" customHeight="1" x14ac:dyDescent="0.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spans="1:26" ht="14.25" customHeight="1" x14ac:dyDescent="0.3">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spans="1:26" ht="14.25" customHeight="1" x14ac:dyDescent="0.3">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spans="1:26" ht="14.25" customHeight="1" x14ac:dyDescent="0.3">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spans="1:26" ht="14.25" customHeight="1" x14ac:dyDescent="0.3">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spans="1:26" ht="14.25" customHeight="1" x14ac:dyDescent="0.3">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spans="1:26" ht="14.25" customHeight="1" x14ac:dyDescent="0.3">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spans="1:26" ht="14.25" customHeight="1" x14ac:dyDescent="0.3">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spans="1:26" ht="14.25" customHeight="1" x14ac:dyDescent="0.3">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spans="1:26" ht="14.25" customHeight="1" x14ac:dyDescent="0.3">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spans="1:26" ht="14.25" customHeight="1" x14ac:dyDescent="0.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spans="1:26" ht="14.25" customHeight="1" x14ac:dyDescent="0.3">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spans="1:26" ht="14.25" customHeight="1" x14ac:dyDescent="0.3">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spans="1:26" ht="14.25" customHeight="1" x14ac:dyDescent="0.3">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spans="1:26" ht="14.25" customHeight="1" x14ac:dyDescent="0.3">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spans="1:26" ht="14.25" customHeight="1" x14ac:dyDescent="0.3">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spans="1:26" ht="14.25" customHeight="1" x14ac:dyDescent="0.3">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spans="1:26" ht="14.25" customHeight="1" x14ac:dyDescent="0.3">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spans="1:26" ht="14.25" customHeight="1" x14ac:dyDescent="0.3">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spans="1:26" ht="14.25" customHeight="1" x14ac:dyDescent="0.3">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spans="1:26" ht="14.25" customHeight="1" x14ac:dyDescent="0.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spans="1:26" ht="14.25" customHeight="1" x14ac:dyDescent="0.3">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spans="1:26" ht="14.25" customHeight="1" x14ac:dyDescent="0.3">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spans="1:26" ht="14.25" customHeight="1" x14ac:dyDescent="0.3">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spans="1:26" ht="14.25" customHeight="1" x14ac:dyDescent="0.3">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spans="1:26" ht="14.25" customHeight="1" x14ac:dyDescent="0.3">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spans="1:26" ht="14.25" customHeight="1" x14ac:dyDescent="0.3">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spans="1:26" ht="14.25" customHeight="1" x14ac:dyDescent="0.3">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spans="1:26" ht="14.25" customHeight="1" x14ac:dyDescent="0.3">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spans="1:26" ht="14.25" customHeight="1" x14ac:dyDescent="0.3">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spans="1:26" ht="14.25" customHeight="1" x14ac:dyDescent="0.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spans="1:26" ht="14.25" customHeight="1" x14ac:dyDescent="0.3">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spans="1:26" ht="14.25" customHeight="1" x14ac:dyDescent="0.3">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spans="1:26" ht="14.25" customHeight="1" x14ac:dyDescent="0.3">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spans="1:26" ht="14.25" customHeight="1" x14ac:dyDescent="0.3">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spans="1:26" ht="14.25" customHeight="1" x14ac:dyDescent="0.3">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spans="1:26" ht="14.25" customHeight="1" x14ac:dyDescent="0.3">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spans="1:26" ht="14.25" customHeight="1" x14ac:dyDescent="0.3">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spans="1:26" ht="14.25" customHeight="1" x14ac:dyDescent="0.3">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spans="1:26" ht="14.25" customHeight="1" x14ac:dyDescent="0.3">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spans="1:26" ht="14.25" customHeight="1" x14ac:dyDescent="0.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spans="1:26" ht="14.25" customHeight="1" x14ac:dyDescent="0.3">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spans="1:26" ht="14.25" customHeight="1" x14ac:dyDescent="0.3">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spans="1:26" ht="14.25" customHeight="1" x14ac:dyDescent="0.3">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spans="1:26" ht="14.25" customHeight="1" x14ac:dyDescent="0.3">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spans="1:26" ht="14.25" customHeight="1" x14ac:dyDescent="0.3">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spans="1:26" ht="14.25" customHeight="1" x14ac:dyDescent="0.3">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spans="1:26" ht="14.25" customHeight="1" x14ac:dyDescent="0.3">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spans="1:26" ht="14.25" customHeight="1" x14ac:dyDescent="0.3">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spans="1:26" ht="14.25" customHeight="1" x14ac:dyDescent="0.3">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spans="1:26" ht="14.25" customHeight="1" x14ac:dyDescent="0.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spans="1:26" ht="14.25" customHeight="1" x14ac:dyDescent="0.3">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spans="1:26" ht="14.25" customHeight="1" x14ac:dyDescent="0.3">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spans="1:26" ht="14.25" customHeight="1" x14ac:dyDescent="0.3">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spans="1:26" ht="14.25" customHeight="1" x14ac:dyDescent="0.3">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spans="1:26" ht="14.25" customHeight="1" x14ac:dyDescent="0.3">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spans="1:26" ht="14.25" customHeight="1" x14ac:dyDescent="0.3">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spans="1:26" ht="14.25" customHeight="1" x14ac:dyDescent="0.3">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spans="1:26" ht="14.25" customHeight="1" x14ac:dyDescent="0.3">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spans="1:26" ht="14.25" customHeight="1" x14ac:dyDescent="0.3">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spans="1:26" ht="14.25" customHeight="1" x14ac:dyDescent="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spans="1:26" ht="14.25" customHeight="1" x14ac:dyDescent="0.3">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spans="1:26" ht="14.25" customHeight="1" x14ac:dyDescent="0.3">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spans="1:26" ht="14.25" customHeight="1" x14ac:dyDescent="0.3">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spans="1:26" ht="14.25" customHeight="1" x14ac:dyDescent="0.3">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spans="1:26" ht="14.25" customHeight="1" x14ac:dyDescent="0.3">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spans="1:26" ht="14.25" customHeight="1" x14ac:dyDescent="0.3">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spans="1:26" ht="14.25" customHeight="1" x14ac:dyDescent="0.3">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spans="1:26" ht="14.25" customHeight="1" x14ac:dyDescent="0.3">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spans="1:26" ht="14.25" customHeight="1" x14ac:dyDescent="0.3">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spans="1:26" ht="14.25" customHeight="1" x14ac:dyDescent="0.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spans="1:26" ht="14.25" customHeight="1" x14ac:dyDescent="0.3">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spans="1:26" ht="14.25" customHeight="1" x14ac:dyDescent="0.3">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spans="1:26" ht="14.25" customHeight="1" x14ac:dyDescent="0.3">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spans="1:26" ht="14.25" customHeight="1" x14ac:dyDescent="0.3">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spans="1:26" ht="14.25" customHeight="1" x14ac:dyDescent="0.3">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spans="1:26" ht="14.25" customHeight="1" x14ac:dyDescent="0.3">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spans="1:26" ht="14.25" customHeight="1" x14ac:dyDescent="0.3">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spans="1:26" ht="14.25" customHeight="1" x14ac:dyDescent="0.3">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spans="1:26" ht="14.25" customHeight="1" x14ac:dyDescent="0.3">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spans="1:26" ht="14.25" customHeight="1" x14ac:dyDescent="0.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spans="1:26" ht="14.25" customHeight="1" x14ac:dyDescent="0.3">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spans="1:26" ht="14.25" customHeight="1" x14ac:dyDescent="0.3">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spans="1:26" ht="14.25" customHeight="1" x14ac:dyDescent="0.3">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spans="1:26" ht="14.25" customHeight="1" x14ac:dyDescent="0.3">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spans="1:26" ht="14.25" customHeight="1" x14ac:dyDescent="0.3">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spans="1:26" ht="14.25" customHeight="1" x14ac:dyDescent="0.3">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spans="1:26" ht="14.25" customHeight="1" x14ac:dyDescent="0.3">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spans="1:26" ht="14.25" customHeight="1" x14ac:dyDescent="0.3">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spans="1:26" ht="14.25" customHeight="1" x14ac:dyDescent="0.3">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spans="1:26" ht="14.25" customHeight="1" x14ac:dyDescent="0.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spans="1:26" ht="14.25" customHeight="1" x14ac:dyDescent="0.3">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spans="1:26" ht="14.25" customHeight="1" x14ac:dyDescent="0.3">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spans="1:26" ht="14.25" customHeight="1" x14ac:dyDescent="0.3">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spans="1:26" ht="14.25" customHeight="1" x14ac:dyDescent="0.3">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spans="1:26" ht="14.25" customHeight="1" x14ac:dyDescent="0.3">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spans="1:26" ht="14.25" customHeight="1" x14ac:dyDescent="0.3">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spans="1:26" ht="14.25" customHeight="1" x14ac:dyDescent="0.3">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spans="1:26" ht="14.25" customHeight="1" x14ac:dyDescent="0.3">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spans="1:26" ht="14.25" customHeight="1" x14ac:dyDescent="0.3">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spans="1:26" ht="14.25" customHeight="1" x14ac:dyDescent="0.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spans="1:26" ht="14.25" customHeight="1" x14ac:dyDescent="0.3">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spans="1:26" ht="14.25" customHeight="1" x14ac:dyDescent="0.3">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spans="1:26" ht="14.25" customHeight="1" x14ac:dyDescent="0.3">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spans="1:26" ht="14.25" customHeight="1" x14ac:dyDescent="0.3">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spans="1:26" ht="14.25" customHeight="1" x14ac:dyDescent="0.3">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spans="1:26" ht="14.25" customHeight="1" x14ac:dyDescent="0.3">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spans="1:26" ht="14.25" customHeight="1" x14ac:dyDescent="0.3">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spans="1:26" ht="14.25" customHeight="1" x14ac:dyDescent="0.3">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spans="1:26" ht="14.25" customHeight="1" x14ac:dyDescent="0.3">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spans="1:26" ht="14.25" customHeight="1" x14ac:dyDescent="0.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spans="1:26" ht="14.25" customHeight="1" x14ac:dyDescent="0.3">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spans="1:26" ht="14.25" customHeight="1" x14ac:dyDescent="0.3">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spans="1:26" ht="14.25" customHeight="1" x14ac:dyDescent="0.3">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spans="1:26" ht="14.25" customHeight="1" x14ac:dyDescent="0.3">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spans="1:26" ht="14.25" customHeight="1" x14ac:dyDescent="0.3">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spans="1:26" ht="14.25" customHeight="1" x14ac:dyDescent="0.3">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spans="1:26" ht="14.25" customHeight="1" x14ac:dyDescent="0.3">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spans="1:26" ht="14.25" customHeight="1" x14ac:dyDescent="0.3">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spans="1:26" ht="14.25" customHeight="1" x14ac:dyDescent="0.3">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spans="1:26" ht="14.25" customHeight="1" x14ac:dyDescent="0.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spans="1:26" ht="14.25" customHeight="1" x14ac:dyDescent="0.3">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spans="1:26" ht="14.25" customHeight="1" x14ac:dyDescent="0.3">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spans="1:26" ht="14.25" customHeight="1" x14ac:dyDescent="0.3">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spans="1:26" ht="14.25" customHeight="1" x14ac:dyDescent="0.3">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spans="1:26" ht="14.25" customHeight="1" x14ac:dyDescent="0.3">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spans="1:26" ht="14.25" customHeight="1" x14ac:dyDescent="0.3">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spans="1:26" ht="14.25" customHeight="1" x14ac:dyDescent="0.3">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spans="1:26" ht="14.25" customHeight="1" x14ac:dyDescent="0.3">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spans="1:26" ht="14.25" customHeight="1" x14ac:dyDescent="0.3">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spans="1:26" ht="14.25" customHeight="1" x14ac:dyDescent="0.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spans="1:26" ht="14.25" customHeight="1" x14ac:dyDescent="0.3">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spans="1:26" ht="14.25" customHeight="1" x14ac:dyDescent="0.3">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spans="1:26" ht="14.25" customHeight="1" x14ac:dyDescent="0.3">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spans="1:26" ht="14.25" customHeight="1" x14ac:dyDescent="0.3">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spans="1:26" ht="14.25" customHeight="1" x14ac:dyDescent="0.3">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spans="1:26" ht="14.25" customHeight="1" x14ac:dyDescent="0.3">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spans="1:26" ht="14.25" customHeight="1" x14ac:dyDescent="0.3">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spans="1:26" ht="14.25" customHeight="1" x14ac:dyDescent="0.3">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spans="1:26" ht="14.25" customHeight="1" x14ac:dyDescent="0.3">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spans="1:26" ht="14.25" customHeight="1" x14ac:dyDescent="0.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spans="1:26" ht="14.25" customHeight="1" x14ac:dyDescent="0.3">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spans="1:26" ht="14.25" customHeight="1" x14ac:dyDescent="0.3">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spans="1:26" ht="14.25" customHeight="1" x14ac:dyDescent="0.3">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spans="1:26" ht="14.25" customHeight="1" x14ac:dyDescent="0.3">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spans="1:26" ht="14.25" customHeight="1" x14ac:dyDescent="0.3">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spans="1:26" ht="14.25" customHeight="1" x14ac:dyDescent="0.3">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spans="1:26" ht="14.25" customHeight="1" x14ac:dyDescent="0.3">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spans="1:26" ht="14.25" customHeight="1" x14ac:dyDescent="0.3">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spans="1:26" ht="14.25" customHeight="1" x14ac:dyDescent="0.3">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spans="1:26" ht="14.25" customHeight="1" x14ac:dyDescent="0.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spans="1:26" ht="14.25" customHeight="1" x14ac:dyDescent="0.3">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spans="1:26" ht="14.25" customHeight="1" x14ac:dyDescent="0.3">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spans="1:26" ht="14.25" customHeight="1" x14ac:dyDescent="0.3">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spans="1:26" ht="14.25" customHeight="1" x14ac:dyDescent="0.3">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spans="1:26" ht="14.25" customHeight="1" x14ac:dyDescent="0.3">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spans="1:26" ht="14.25" customHeight="1" x14ac:dyDescent="0.3">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spans="1:26" ht="14.25" customHeight="1" x14ac:dyDescent="0.3">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spans="1:26" ht="14.25" customHeight="1" x14ac:dyDescent="0.3">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spans="1:26" ht="14.25" customHeight="1" x14ac:dyDescent="0.3">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spans="1:26" ht="14.25" customHeight="1" x14ac:dyDescent="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spans="1:26" ht="14.25" customHeight="1" x14ac:dyDescent="0.3">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spans="1:26" ht="14.25" customHeight="1" x14ac:dyDescent="0.3">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spans="1:26" ht="14.25" customHeight="1" x14ac:dyDescent="0.3">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spans="1:26" ht="14.25" customHeight="1" x14ac:dyDescent="0.3">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spans="1:26" ht="14.25" customHeight="1" x14ac:dyDescent="0.3">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spans="1:26" ht="14.25" customHeight="1" x14ac:dyDescent="0.3">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spans="1:26" ht="14.25" customHeight="1" x14ac:dyDescent="0.3">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spans="1:26" ht="14.25" customHeight="1" x14ac:dyDescent="0.3">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spans="1:26" ht="14.25" customHeight="1" x14ac:dyDescent="0.3">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spans="1:26" ht="14.25" customHeight="1" x14ac:dyDescent="0.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spans="1:26" ht="14.25" customHeight="1" x14ac:dyDescent="0.3">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spans="1:26" ht="14.25" customHeight="1" x14ac:dyDescent="0.3">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spans="1:26" ht="14.25" customHeight="1" x14ac:dyDescent="0.3">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spans="1:26" ht="14.25" customHeight="1" x14ac:dyDescent="0.3">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spans="1:26" ht="14.25" customHeight="1" x14ac:dyDescent="0.3">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spans="1:26" ht="14.25" customHeight="1" x14ac:dyDescent="0.3">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spans="1:26" ht="14.25" customHeight="1" x14ac:dyDescent="0.3">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spans="1:26" ht="14.25" customHeight="1" x14ac:dyDescent="0.3">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spans="1:26" ht="14.25" customHeight="1" x14ac:dyDescent="0.3">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spans="1:26" ht="14.25" customHeight="1" x14ac:dyDescent="0.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spans="1:26" ht="14.25" customHeight="1" x14ac:dyDescent="0.3">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spans="1:26" ht="14.25" customHeight="1" x14ac:dyDescent="0.3">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spans="1:26" ht="14.25" customHeight="1" x14ac:dyDescent="0.3">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spans="1:26" ht="14.25" customHeight="1" x14ac:dyDescent="0.3">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spans="1:26" ht="14.25" customHeight="1" x14ac:dyDescent="0.3">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spans="1:26" ht="14.25" customHeight="1" x14ac:dyDescent="0.3">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spans="1:26" ht="14.25" customHeight="1" x14ac:dyDescent="0.3">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spans="1:26" ht="14.25" customHeight="1" x14ac:dyDescent="0.3">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spans="1:26" ht="14.25" customHeight="1" x14ac:dyDescent="0.3">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spans="1:26" ht="14.25" customHeight="1" x14ac:dyDescent="0.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spans="1:26" ht="14.25" customHeight="1" x14ac:dyDescent="0.3">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spans="1:26" ht="14.25" customHeight="1" x14ac:dyDescent="0.3">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spans="1:26" ht="14.25" customHeight="1" x14ac:dyDescent="0.3">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spans="1:26" ht="14.25" customHeight="1" x14ac:dyDescent="0.3">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spans="1:26" ht="14.25" customHeight="1" x14ac:dyDescent="0.3">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spans="1:26" ht="14.25" customHeight="1" x14ac:dyDescent="0.3">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spans="1:26" ht="14.25" customHeight="1" x14ac:dyDescent="0.3">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spans="1:26" ht="14.25" customHeight="1" x14ac:dyDescent="0.3">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spans="1:26" ht="14.25" customHeight="1" x14ac:dyDescent="0.3">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spans="1:26" ht="14.25" customHeight="1" x14ac:dyDescent="0.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spans="1:26" ht="14.25" customHeight="1" x14ac:dyDescent="0.3">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spans="1:26" ht="14.25" customHeight="1" x14ac:dyDescent="0.3">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spans="1:26" ht="14.25" customHeight="1" x14ac:dyDescent="0.3">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spans="1:26" ht="14.25" customHeight="1" x14ac:dyDescent="0.3">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spans="1:26" ht="14.25" customHeight="1" x14ac:dyDescent="0.3">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spans="1:26" ht="14.25" customHeight="1" x14ac:dyDescent="0.3">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spans="1:26" ht="14.25" customHeight="1" x14ac:dyDescent="0.3">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spans="1:26" ht="14.25" customHeight="1" x14ac:dyDescent="0.3">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spans="1:26" ht="14.25" customHeight="1" x14ac:dyDescent="0.3">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spans="1:26" ht="14.25" customHeight="1" x14ac:dyDescent="0.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spans="1:26" ht="14.25" customHeight="1" x14ac:dyDescent="0.3">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spans="1:26" ht="14.25" customHeight="1" x14ac:dyDescent="0.3">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spans="1:26" ht="14.25" customHeight="1" x14ac:dyDescent="0.3">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spans="1:26" ht="14.25" customHeight="1" x14ac:dyDescent="0.3">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spans="1:26" ht="14.25" customHeight="1" x14ac:dyDescent="0.3">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spans="1:26" ht="14.25" customHeight="1" x14ac:dyDescent="0.3">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spans="1:26" ht="14.25" customHeight="1" x14ac:dyDescent="0.3">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spans="1:26" ht="14.25" customHeight="1" x14ac:dyDescent="0.3">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spans="1:26" ht="14.25" customHeight="1" x14ac:dyDescent="0.3">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spans="1:26" ht="14.25" customHeight="1" x14ac:dyDescent="0.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spans="1:26" ht="14.25" customHeight="1" x14ac:dyDescent="0.3">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spans="1:26" ht="14.25" customHeight="1" x14ac:dyDescent="0.3">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spans="1:26" ht="14.25" customHeight="1" x14ac:dyDescent="0.3">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spans="1:26" ht="14.25" customHeight="1" x14ac:dyDescent="0.3">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spans="1:26" ht="14.25" customHeight="1" x14ac:dyDescent="0.3">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spans="1:26" ht="14.25" customHeight="1" x14ac:dyDescent="0.3">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spans="1:26" ht="14.25" customHeight="1" x14ac:dyDescent="0.3">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spans="1:26" ht="14.25" customHeight="1" x14ac:dyDescent="0.3">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spans="1:26" ht="14.25" customHeight="1" x14ac:dyDescent="0.3">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spans="1:26" ht="14.25" customHeight="1" x14ac:dyDescent="0.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spans="1:26" ht="14.25" customHeight="1" x14ac:dyDescent="0.3">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spans="1:26" ht="14.25" customHeight="1" x14ac:dyDescent="0.3">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spans="1:26" ht="14.25" customHeight="1" x14ac:dyDescent="0.3">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spans="1:26" ht="14.25" customHeight="1" x14ac:dyDescent="0.3">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spans="1:26" ht="14.25" customHeight="1" x14ac:dyDescent="0.3">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spans="1:26" ht="14.25" customHeight="1" x14ac:dyDescent="0.3">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spans="1:26" ht="14.25" customHeight="1" x14ac:dyDescent="0.3">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spans="1:26" ht="14.25" customHeight="1" x14ac:dyDescent="0.3">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spans="1:26" ht="14.25" customHeight="1" x14ac:dyDescent="0.3">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spans="1:26" ht="14.25" customHeight="1" x14ac:dyDescent="0.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spans="1:26" ht="14.25" customHeight="1" x14ac:dyDescent="0.3">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spans="1:26" ht="14.25" customHeight="1" x14ac:dyDescent="0.3">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spans="1:26" ht="14.25" customHeight="1" x14ac:dyDescent="0.3">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spans="1:26" ht="14.25" customHeight="1" x14ac:dyDescent="0.3">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spans="1:26" ht="14.25" customHeight="1" x14ac:dyDescent="0.3">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spans="1:26" ht="14.25" customHeight="1" x14ac:dyDescent="0.3">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spans="1:26" ht="14.25" customHeight="1" x14ac:dyDescent="0.3">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spans="1:26" ht="14.25" customHeight="1" x14ac:dyDescent="0.3">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spans="1:26" ht="14.25" customHeight="1" x14ac:dyDescent="0.3">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spans="1:26" ht="14.25" customHeight="1" x14ac:dyDescent="0.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spans="1:26" ht="14.25" customHeight="1" x14ac:dyDescent="0.3">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spans="1:26" ht="14.25" customHeight="1" x14ac:dyDescent="0.3">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spans="1:26" ht="14.25" customHeight="1" x14ac:dyDescent="0.3">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spans="1:26" ht="14.25" customHeight="1" x14ac:dyDescent="0.3">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spans="1:26" ht="14.25" customHeight="1" x14ac:dyDescent="0.3">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spans="1:26" ht="14.25" customHeight="1" x14ac:dyDescent="0.3">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spans="1:26" ht="14.25" customHeight="1" x14ac:dyDescent="0.3">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spans="1:26" ht="14.25" customHeight="1" x14ac:dyDescent="0.3">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spans="1:26" ht="14.25" customHeight="1" x14ac:dyDescent="0.3">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spans="1:26" ht="14.25" customHeight="1" x14ac:dyDescent="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spans="1:26" ht="14.25" customHeight="1" x14ac:dyDescent="0.3">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spans="1:26" ht="14.25" customHeight="1" x14ac:dyDescent="0.3">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spans="1:26" ht="14.25" customHeight="1" x14ac:dyDescent="0.3">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spans="1:26" ht="14.25" customHeight="1" x14ac:dyDescent="0.3">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spans="1:26" ht="14.25" customHeight="1" x14ac:dyDescent="0.3">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spans="1:26" ht="14.25" customHeight="1" x14ac:dyDescent="0.3">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spans="1:26" ht="14.25" customHeight="1" x14ac:dyDescent="0.3">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spans="1:26" ht="14.25" customHeight="1" x14ac:dyDescent="0.3">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spans="1:26" ht="14.25" customHeight="1" x14ac:dyDescent="0.3">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spans="1:26" ht="14.25" customHeight="1" x14ac:dyDescent="0.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spans="1:26" ht="14.25" customHeight="1" x14ac:dyDescent="0.3">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spans="1:26" ht="14.25" customHeight="1" x14ac:dyDescent="0.3">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spans="1:26" ht="14.25" customHeight="1" x14ac:dyDescent="0.3">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spans="1:26" ht="14.25" customHeight="1" x14ac:dyDescent="0.3">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spans="1:26" ht="14.25" customHeight="1" x14ac:dyDescent="0.3">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spans="1:26" ht="14.25" customHeight="1" x14ac:dyDescent="0.3">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spans="1:26" ht="14.25" customHeight="1" x14ac:dyDescent="0.3">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spans="1:26" ht="14.25" customHeight="1" x14ac:dyDescent="0.3">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spans="1:26" ht="14.25" customHeight="1" x14ac:dyDescent="0.3">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spans="1:26" ht="14.25" customHeight="1" x14ac:dyDescent="0.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spans="1:26" ht="14.25" customHeight="1" x14ac:dyDescent="0.3">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spans="1:26" ht="14.25" customHeight="1" x14ac:dyDescent="0.3">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spans="1:26" ht="14.25" customHeight="1" x14ac:dyDescent="0.3">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spans="1:26" ht="14.25" customHeight="1" x14ac:dyDescent="0.3">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spans="1:26" ht="14.25" customHeight="1" x14ac:dyDescent="0.3">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spans="1:26" ht="14.25" customHeight="1" x14ac:dyDescent="0.3">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spans="1:26" ht="14.25" customHeight="1" x14ac:dyDescent="0.3">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spans="1:26" ht="14.25" customHeight="1" x14ac:dyDescent="0.3">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spans="1:26" ht="14.25" customHeight="1" x14ac:dyDescent="0.3">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spans="1:26" ht="14.25" customHeight="1" x14ac:dyDescent="0.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spans="1:26" ht="14.25" customHeight="1" x14ac:dyDescent="0.3">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spans="1:26" ht="14.25" customHeight="1" x14ac:dyDescent="0.3">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spans="1:26" ht="14.25" customHeight="1" x14ac:dyDescent="0.3">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spans="1:26" ht="14.25" customHeight="1" x14ac:dyDescent="0.3">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spans="1:26" ht="14.25" customHeight="1" x14ac:dyDescent="0.3">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spans="1:26" ht="14.25" customHeight="1" x14ac:dyDescent="0.3">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spans="1:26" ht="14.25" customHeight="1" x14ac:dyDescent="0.3">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spans="1:26" ht="14.25" customHeight="1" x14ac:dyDescent="0.3">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spans="1:26" ht="14.25" customHeight="1" x14ac:dyDescent="0.3">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spans="1:26" ht="14.25" customHeight="1" x14ac:dyDescent="0.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spans="1:26" ht="14.25" customHeight="1" x14ac:dyDescent="0.3">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spans="1:26" ht="14.25" customHeight="1" x14ac:dyDescent="0.3">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spans="1:26" ht="14.25" customHeight="1" x14ac:dyDescent="0.3">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spans="1:26" ht="14.25" customHeight="1" x14ac:dyDescent="0.3">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spans="1:26" ht="14.25" customHeight="1" x14ac:dyDescent="0.3">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spans="1:26" ht="14.25" customHeight="1" x14ac:dyDescent="0.3">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spans="1:26" ht="14.25" customHeight="1" x14ac:dyDescent="0.3">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spans="1:26" ht="14.25" customHeight="1" x14ac:dyDescent="0.3">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spans="1:26" ht="14.25" customHeight="1" x14ac:dyDescent="0.3">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spans="1:26" ht="14.25" customHeight="1" x14ac:dyDescent="0.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spans="1:26" ht="14.25" customHeight="1" x14ac:dyDescent="0.3">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spans="1:26" ht="14.25" customHeight="1" x14ac:dyDescent="0.3">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spans="1:26" ht="14.25" customHeight="1" x14ac:dyDescent="0.3">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spans="1:26" ht="14.25" customHeight="1" x14ac:dyDescent="0.3">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spans="1:26" ht="14.25" customHeight="1" x14ac:dyDescent="0.3">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spans="1:26" ht="14.25" customHeight="1" x14ac:dyDescent="0.3">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spans="1:26" ht="14.25" customHeight="1" x14ac:dyDescent="0.3">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spans="1:26" ht="14.25" customHeight="1" x14ac:dyDescent="0.3">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spans="1:26" ht="14.25" customHeight="1" x14ac:dyDescent="0.3">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spans="1:26" ht="14.25" customHeight="1" x14ac:dyDescent="0.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spans="1:26" ht="14.25" customHeight="1" x14ac:dyDescent="0.3">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spans="1:26" ht="14.25" customHeight="1" x14ac:dyDescent="0.3">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spans="1:26" ht="14.25" customHeight="1" x14ac:dyDescent="0.3">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spans="1:26" ht="14.25" customHeight="1" x14ac:dyDescent="0.3">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spans="1:26" ht="14.25" customHeight="1" x14ac:dyDescent="0.3">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spans="1:26" ht="14.25" customHeight="1" x14ac:dyDescent="0.3">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spans="1:26" ht="14.25" customHeight="1" x14ac:dyDescent="0.3">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spans="1:26" ht="14.25" customHeight="1" x14ac:dyDescent="0.3">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spans="1:26" ht="14.25" customHeight="1" x14ac:dyDescent="0.3">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spans="1:26" ht="14.25" customHeight="1" x14ac:dyDescent="0.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spans="1:26" ht="14.25" customHeight="1" x14ac:dyDescent="0.3">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spans="1:26" ht="14.25" customHeight="1" x14ac:dyDescent="0.3">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spans="1:26" ht="14.25" customHeight="1" x14ac:dyDescent="0.3">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spans="1:26" ht="14.25" customHeight="1" x14ac:dyDescent="0.3">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spans="1:26" ht="14.25" customHeight="1" x14ac:dyDescent="0.3">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spans="1:26" ht="14.25" customHeight="1" x14ac:dyDescent="0.3">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spans="1:26" ht="14.25" customHeight="1" x14ac:dyDescent="0.3">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spans="1:26" ht="14.25" customHeight="1" x14ac:dyDescent="0.3">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spans="1:26" ht="14.25" customHeight="1" x14ac:dyDescent="0.3">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spans="1:26" ht="14.25" customHeight="1" x14ac:dyDescent="0.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spans="1:26" ht="14.25" customHeight="1" x14ac:dyDescent="0.3">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spans="1:26" ht="14.25" customHeight="1" x14ac:dyDescent="0.3">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spans="1:26" ht="14.25" customHeight="1" x14ac:dyDescent="0.3">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spans="1:26" ht="14.25" customHeight="1" x14ac:dyDescent="0.3">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spans="1:26" ht="14.25" customHeight="1" x14ac:dyDescent="0.3">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spans="1:26" ht="14.25" customHeight="1" x14ac:dyDescent="0.3">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spans="1:26" ht="14.25" customHeight="1" x14ac:dyDescent="0.3">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spans="1:26" ht="14.25" customHeight="1" x14ac:dyDescent="0.3">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spans="1:26" ht="14.25" customHeight="1" x14ac:dyDescent="0.3">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spans="1:26" ht="14.25" customHeight="1" x14ac:dyDescent="0.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spans="1:26" ht="14.25" customHeight="1" x14ac:dyDescent="0.3">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spans="1:26" ht="14.25" customHeight="1" x14ac:dyDescent="0.3">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spans="1:26" ht="14.25" customHeight="1" x14ac:dyDescent="0.3">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spans="1:26" ht="14.25" customHeight="1" x14ac:dyDescent="0.3">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spans="1:26" ht="14.25" customHeight="1" x14ac:dyDescent="0.3">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spans="1:26" ht="14.25" customHeight="1" x14ac:dyDescent="0.3">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spans="1:26" ht="14.25" customHeight="1" x14ac:dyDescent="0.3">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spans="1:26" ht="14.25" customHeight="1" x14ac:dyDescent="0.3">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spans="1:26" ht="14.25" customHeight="1" x14ac:dyDescent="0.3">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spans="1:26" ht="14.25" customHeight="1" x14ac:dyDescent="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spans="1:26" ht="14.25" customHeight="1" x14ac:dyDescent="0.3">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spans="1:26" ht="14.25" customHeight="1" x14ac:dyDescent="0.3">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spans="1:26" ht="14.25" customHeight="1" x14ac:dyDescent="0.3">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spans="1:26" ht="14.25" customHeight="1" x14ac:dyDescent="0.3">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spans="1:26" ht="14.25" customHeight="1" x14ac:dyDescent="0.3">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spans="1:26" ht="14.25" customHeight="1" x14ac:dyDescent="0.3">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spans="1:26" ht="14.25" customHeight="1" x14ac:dyDescent="0.3">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spans="1:26" ht="14.25" customHeight="1" x14ac:dyDescent="0.3">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spans="1:26" ht="14.25" customHeight="1" x14ac:dyDescent="0.3">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spans="1:26" ht="14.25" customHeight="1" x14ac:dyDescent="0.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spans="1:26" ht="14.25" customHeight="1" x14ac:dyDescent="0.3">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spans="1:26" ht="14.25" customHeight="1" x14ac:dyDescent="0.3">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spans="1:26" ht="14.25" customHeight="1" x14ac:dyDescent="0.3">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spans="1:26" ht="14.25" customHeight="1" x14ac:dyDescent="0.3">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spans="1:26" ht="14.25" customHeight="1" x14ac:dyDescent="0.3">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spans="1:26" ht="14.25" customHeight="1" x14ac:dyDescent="0.3">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spans="1:26" ht="14.25" customHeight="1" x14ac:dyDescent="0.3">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spans="1:26" ht="14.25" customHeight="1" x14ac:dyDescent="0.3">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spans="1:26" ht="14.25" customHeight="1" x14ac:dyDescent="0.3">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spans="1:26" ht="14.25" customHeight="1" x14ac:dyDescent="0.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spans="1:26" ht="14.25" customHeight="1" x14ac:dyDescent="0.3">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spans="1:26" ht="14.25" customHeight="1" x14ac:dyDescent="0.3">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spans="1:26" ht="14.25" customHeight="1" x14ac:dyDescent="0.3">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spans="1:26" ht="14.25" customHeight="1" x14ac:dyDescent="0.3">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spans="1:26" ht="14.25" customHeight="1" x14ac:dyDescent="0.3">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spans="1:26" ht="14.25" customHeight="1" x14ac:dyDescent="0.3">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spans="1:26" ht="14.25" customHeight="1" x14ac:dyDescent="0.3">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spans="1:26" ht="14.25" customHeight="1" x14ac:dyDescent="0.3">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spans="1:26" ht="14.25" customHeight="1" x14ac:dyDescent="0.3">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spans="1:26" ht="14.25" customHeight="1" x14ac:dyDescent="0.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spans="1:26" ht="14.25" customHeight="1" x14ac:dyDescent="0.3">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spans="1:26" ht="14.25" customHeight="1" x14ac:dyDescent="0.3">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spans="1:26" ht="14.25" customHeight="1" x14ac:dyDescent="0.3">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spans="1:26" ht="14.25" customHeight="1" x14ac:dyDescent="0.3">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spans="1:26" ht="14.25" customHeight="1" x14ac:dyDescent="0.3">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spans="1:26" ht="14.25" customHeight="1" x14ac:dyDescent="0.3">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spans="1:26" ht="14.25" customHeight="1" x14ac:dyDescent="0.3">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spans="1:26" ht="14.25" customHeight="1" x14ac:dyDescent="0.3">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spans="1:26" ht="14.25" customHeight="1" x14ac:dyDescent="0.3">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spans="1:26" ht="14.25" customHeight="1" x14ac:dyDescent="0.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spans="1:26" ht="14.25" customHeight="1" x14ac:dyDescent="0.3">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spans="1:26" ht="14.25" customHeight="1" x14ac:dyDescent="0.3">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spans="1:26" ht="14.25" customHeight="1" x14ac:dyDescent="0.3">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spans="1:26" ht="14.25" customHeight="1" x14ac:dyDescent="0.3">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spans="1:26" ht="14.25" customHeight="1" x14ac:dyDescent="0.3">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spans="1:26" ht="14.25" customHeight="1" x14ac:dyDescent="0.3">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spans="1:26" ht="14.25" customHeight="1" x14ac:dyDescent="0.3">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spans="1:26" ht="14.25" customHeight="1" x14ac:dyDescent="0.3">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spans="1:26" ht="14.25" customHeight="1" x14ac:dyDescent="0.3">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spans="1:26" ht="14.25" customHeight="1" x14ac:dyDescent="0.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spans="1:26" ht="14.25" customHeight="1" x14ac:dyDescent="0.3">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spans="1:26" ht="14.25" customHeight="1" x14ac:dyDescent="0.3">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spans="1:26" ht="14.25" customHeight="1" x14ac:dyDescent="0.3">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spans="1:26" ht="14.25" customHeight="1" x14ac:dyDescent="0.3">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spans="1:26" ht="14.25" customHeight="1" x14ac:dyDescent="0.3">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spans="1:26" ht="14.25" customHeight="1" x14ac:dyDescent="0.3">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spans="1:26" ht="14.25" customHeight="1" x14ac:dyDescent="0.3">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spans="1:26" ht="14.25" customHeight="1" x14ac:dyDescent="0.3">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spans="1:26" ht="14.25" customHeight="1" x14ac:dyDescent="0.3">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spans="1:26" ht="14.25" customHeight="1" x14ac:dyDescent="0.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spans="1:26" ht="14.25" customHeight="1" x14ac:dyDescent="0.3">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spans="1:26" ht="14.25" customHeight="1" x14ac:dyDescent="0.3">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spans="1:26" ht="14.25" customHeight="1" x14ac:dyDescent="0.3">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spans="1:26" ht="14.25" customHeight="1" x14ac:dyDescent="0.3">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spans="1:26" ht="14.25" customHeight="1" x14ac:dyDescent="0.3">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spans="1:26" ht="14.25" customHeight="1" x14ac:dyDescent="0.3">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spans="1:26" ht="14.25" customHeight="1" x14ac:dyDescent="0.3">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spans="1:26" ht="14.25" customHeight="1" x14ac:dyDescent="0.3">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spans="1:26" ht="14.25" customHeight="1" x14ac:dyDescent="0.3">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spans="1:26" ht="14.25" customHeight="1" x14ac:dyDescent="0.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spans="1:26" ht="14.25" customHeight="1" x14ac:dyDescent="0.3">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spans="1:26" ht="14.25" customHeight="1" x14ac:dyDescent="0.3">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spans="1:26" ht="14.25" customHeight="1" x14ac:dyDescent="0.3">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spans="1:26" ht="14.25" customHeight="1" x14ac:dyDescent="0.3">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spans="1:26" ht="14.25" customHeight="1" x14ac:dyDescent="0.3">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spans="1:26" ht="14.25" customHeight="1" x14ac:dyDescent="0.3">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spans="1:26" ht="14.25" customHeight="1" x14ac:dyDescent="0.3">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spans="1:26" ht="14.25" customHeight="1" x14ac:dyDescent="0.3">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spans="1:26" ht="14.25" customHeight="1" x14ac:dyDescent="0.3">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spans="1:26" ht="14.25" customHeight="1" x14ac:dyDescent="0.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spans="1:26" ht="14.25" customHeight="1" x14ac:dyDescent="0.3">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spans="1:26" ht="14.25" customHeight="1" x14ac:dyDescent="0.3">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spans="1:26" ht="14.25" customHeight="1" x14ac:dyDescent="0.3">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spans="1:26" ht="14.25" customHeight="1" x14ac:dyDescent="0.3">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spans="1:26" ht="14.25" customHeight="1" x14ac:dyDescent="0.3">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spans="1:26" ht="14.25" customHeight="1" x14ac:dyDescent="0.3">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spans="1:26" ht="14.25" customHeight="1" x14ac:dyDescent="0.3">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spans="1:26" ht="14.25" customHeight="1" x14ac:dyDescent="0.3">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spans="1:26" ht="14.25" customHeight="1" x14ac:dyDescent="0.3">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spans="1:26" ht="14.25" customHeight="1" x14ac:dyDescent="0.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spans="1:26" ht="14.25" customHeight="1" x14ac:dyDescent="0.3">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spans="1:26" ht="14.25" customHeight="1" x14ac:dyDescent="0.3">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spans="1:26" ht="14.25" customHeight="1" x14ac:dyDescent="0.3">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spans="1:26" ht="14.25" customHeight="1" x14ac:dyDescent="0.3">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spans="1:26" ht="14.25" customHeight="1" x14ac:dyDescent="0.3">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spans="1:26" ht="14.25" customHeight="1" x14ac:dyDescent="0.3">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spans="1:26" ht="14.25" customHeight="1" x14ac:dyDescent="0.3">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spans="1:26" ht="14.25" customHeight="1" x14ac:dyDescent="0.3">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spans="1:26" ht="14.25" customHeight="1" x14ac:dyDescent="0.3">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spans="1:26" ht="14.25" customHeight="1" x14ac:dyDescent="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spans="1:26" ht="14.25" customHeight="1" x14ac:dyDescent="0.3">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spans="1:26" ht="14.25" customHeight="1" x14ac:dyDescent="0.3">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spans="1:26" ht="14.25" customHeight="1" x14ac:dyDescent="0.3">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spans="1:26" ht="14.25" customHeight="1" x14ac:dyDescent="0.3">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spans="1:26" ht="14.25" customHeight="1" x14ac:dyDescent="0.3">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spans="1:26" ht="14.25" customHeight="1" x14ac:dyDescent="0.3">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spans="1:26" ht="14.25" customHeight="1" x14ac:dyDescent="0.3">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spans="1:26" ht="14.25" customHeight="1" x14ac:dyDescent="0.3">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spans="1:26" ht="14.25" customHeight="1" x14ac:dyDescent="0.3">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spans="1:26" ht="14.25" customHeight="1" x14ac:dyDescent="0.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spans="1:26" ht="14.25" customHeight="1" x14ac:dyDescent="0.3">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spans="1:26" ht="14.25" customHeight="1" x14ac:dyDescent="0.3">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spans="1:26" ht="14.25" customHeight="1" x14ac:dyDescent="0.3">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spans="1:26" ht="14.25" customHeight="1" x14ac:dyDescent="0.3">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spans="1:26" ht="14.25" customHeight="1" x14ac:dyDescent="0.3">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spans="1:26" ht="14.25" customHeight="1" x14ac:dyDescent="0.3">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spans="1:26" ht="14.25" customHeight="1" x14ac:dyDescent="0.3">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spans="1:26" ht="14.25" customHeight="1" x14ac:dyDescent="0.3">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spans="1:26" ht="14.25" customHeight="1" x14ac:dyDescent="0.3">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spans="1:26" ht="14.25" customHeight="1" x14ac:dyDescent="0.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spans="1:26" ht="14.25" customHeight="1" x14ac:dyDescent="0.3">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spans="1:26" ht="14.25" customHeight="1" x14ac:dyDescent="0.3">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spans="1:26" ht="14.25" customHeight="1" x14ac:dyDescent="0.3">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spans="1:26" ht="14.25" customHeight="1" x14ac:dyDescent="0.3">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spans="1:26" ht="14.25" customHeight="1" x14ac:dyDescent="0.3">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spans="1:26" ht="14.25" customHeight="1" x14ac:dyDescent="0.3">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spans="1:26" ht="14.25" customHeight="1" x14ac:dyDescent="0.3">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spans="1:26" ht="14.25" customHeight="1" x14ac:dyDescent="0.3">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spans="1:26" ht="14.25" customHeight="1" x14ac:dyDescent="0.3">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spans="1:26" ht="14.25" customHeight="1" x14ac:dyDescent="0.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spans="1:26" ht="14.25" customHeight="1" x14ac:dyDescent="0.3">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spans="1:26" ht="14.25" customHeight="1" x14ac:dyDescent="0.3">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spans="1:26" ht="14.25" customHeight="1" x14ac:dyDescent="0.3">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spans="1:26" ht="14.25" customHeight="1" x14ac:dyDescent="0.3">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spans="1:26" ht="14.25" customHeight="1" x14ac:dyDescent="0.3">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spans="1:26" ht="14.25" customHeight="1" x14ac:dyDescent="0.3">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spans="1:26" ht="14.25" customHeight="1" x14ac:dyDescent="0.3">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spans="1:26" ht="14.25" customHeight="1" x14ac:dyDescent="0.3">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spans="1:26" ht="14.25" customHeight="1" x14ac:dyDescent="0.3">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spans="1:26" ht="14.25" customHeight="1" x14ac:dyDescent="0.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spans="1:26" ht="14.25" customHeight="1" x14ac:dyDescent="0.3">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spans="1:26" ht="14.25" customHeight="1" x14ac:dyDescent="0.3">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spans="1:26" ht="14.25" customHeight="1" x14ac:dyDescent="0.3">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spans="1:26" ht="14.25" customHeight="1" x14ac:dyDescent="0.3">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spans="1:26" ht="14.25" customHeight="1" x14ac:dyDescent="0.3">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spans="1:26" ht="14.25" customHeight="1" x14ac:dyDescent="0.3">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spans="1:26" ht="14.25" customHeight="1" x14ac:dyDescent="0.3">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spans="1:26" ht="14.25" customHeight="1" x14ac:dyDescent="0.3">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spans="1:26" ht="14.25" customHeight="1" x14ac:dyDescent="0.3">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spans="1:26" ht="14.25" customHeight="1" x14ac:dyDescent="0.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spans="1:26" ht="14.25" customHeight="1" x14ac:dyDescent="0.3">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spans="1:26" ht="14.25" customHeight="1" x14ac:dyDescent="0.3">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spans="1:26" ht="14.25" customHeight="1" x14ac:dyDescent="0.3">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spans="1:26" ht="14.25" customHeight="1" x14ac:dyDescent="0.3">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spans="1:26" ht="14.25" customHeight="1" x14ac:dyDescent="0.3">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spans="1:26" ht="14.25" customHeight="1" x14ac:dyDescent="0.3">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spans="1:26" ht="14.25" customHeight="1" x14ac:dyDescent="0.3">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spans="1:26" ht="14.25" customHeight="1" x14ac:dyDescent="0.3">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spans="1:26" ht="14.25" customHeight="1" x14ac:dyDescent="0.3">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spans="1:26" ht="14.25" customHeight="1" x14ac:dyDescent="0.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spans="1:26" ht="14.25" customHeight="1" x14ac:dyDescent="0.3">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spans="1:26" ht="14.25" customHeight="1" x14ac:dyDescent="0.3">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spans="1:26" ht="14.25" customHeight="1" x14ac:dyDescent="0.3">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spans="1:26" ht="14.25" customHeight="1" x14ac:dyDescent="0.3">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spans="1:26" ht="14.25" customHeight="1" x14ac:dyDescent="0.3">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spans="1:26" ht="14.25" customHeight="1" x14ac:dyDescent="0.3">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spans="1:26" ht="14.25" customHeight="1" x14ac:dyDescent="0.3">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spans="1:26" ht="14.25" customHeight="1" x14ac:dyDescent="0.3">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spans="1:26" ht="14.25" customHeight="1" x14ac:dyDescent="0.3">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spans="1:26" ht="14.25" customHeight="1" x14ac:dyDescent="0.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spans="1:26" ht="14.25" customHeight="1" x14ac:dyDescent="0.3">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spans="1:26" ht="14.25" customHeight="1" x14ac:dyDescent="0.3">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spans="1:26" ht="14.25" customHeight="1" x14ac:dyDescent="0.3">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spans="1:26" ht="14.25" customHeight="1" x14ac:dyDescent="0.3">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spans="1:26" ht="14.25" customHeight="1" x14ac:dyDescent="0.3">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spans="1:26" ht="14.25" customHeight="1" x14ac:dyDescent="0.3">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spans="1:26" ht="14.25" customHeight="1" x14ac:dyDescent="0.3">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spans="1:26" ht="14.25" customHeight="1" x14ac:dyDescent="0.3">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spans="1:26" ht="14.25" customHeight="1" x14ac:dyDescent="0.3">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spans="1:26" ht="14.25" customHeight="1" x14ac:dyDescent="0.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spans="1:26" ht="14.25" customHeight="1" x14ac:dyDescent="0.3">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spans="1:26" ht="14.25" customHeight="1" x14ac:dyDescent="0.3">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spans="1:26" ht="14.25" customHeight="1" x14ac:dyDescent="0.3">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spans="1:26" ht="14.25" customHeight="1" x14ac:dyDescent="0.3">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spans="1:26" ht="14.25" customHeight="1" x14ac:dyDescent="0.3">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spans="1:26" ht="14.25" customHeight="1" x14ac:dyDescent="0.3">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spans="1:26" ht="14.25" customHeight="1" x14ac:dyDescent="0.3">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spans="1:26" ht="14.25" customHeight="1" x14ac:dyDescent="0.3">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spans="1:26" ht="14.25" customHeight="1" x14ac:dyDescent="0.3">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spans="1:26" ht="14.25" customHeight="1" x14ac:dyDescent="0.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spans="1:26" ht="14.25" customHeight="1" x14ac:dyDescent="0.3">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spans="1:26" ht="14.25" customHeight="1" x14ac:dyDescent="0.3">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spans="1:26" ht="14.25" customHeight="1" x14ac:dyDescent="0.3">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spans="1:26" ht="14.25" customHeight="1" x14ac:dyDescent="0.3">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7"/>
  <sheetViews>
    <sheetView workbookViewId="0"/>
  </sheetViews>
  <sheetFormatPr defaultColWidth="14.44140625" defaultRowHeight="15" customHeight="1" x14ac:dyDescent="0.3"/>
  <cols>
    <col min="1" max="1" width="22.5546875" customWidth="1"/>
    <col min="2" max="2" width="16.6640625" customWidth="1"/>
    <col min="3" max="3" width="28" customWidth="1"/>
    <col min="5" max="5" width="19.5546875" customWidth="1"/>
    <col min="6" max="6" width="6.33203125" customWidth="1"/>
    <col min="7" max="7" width="17" customWidth="1"/>
    <col min="8" max="8" width="51.88671875" customWidth="1"/>
  </cols>
  <sheetData>
    <row r="1" spans="1:8" x14ac:dyDescent="0.3">
      <c r="A1" s="41" t="s">
        <v>55</v>
      </c>
      <c r="B1" s="41" t="s">
        <v>705</v>
      </c>
      <c r="C1" s="41" t="s">
        <v>706</v>
      </c>
      <c r="E1" s="41" t="s">
        <v>707</v>
      </c>
      <c r="F1" s="41" t="s">
        <v>708</v>
      </c>
      <c r="G1" s="41" t="s">
        <v>709</v>
      </c>
      <c r="H1" s="42" t="s">
        <v>710</v>
      </c>
    </row>
    <row r="2" spans="1:8" x14ac:dyDescent="0.3">
      <c r="A2" s="43" t="s">
        <v>711</v>
      </c>
      <c r="B2" s="44">
        <f>COUNTIFS('Master Competitor Matrix'!K:K, "Include", 'Master Competitor Matrix'!BD:BD, A2)</f>
        <v>0</v>
      </c>
      <c r="C2" s="45">
        <f t="shared" ref="C2:C7" si="0">IF($B$7=0, 0, B2/$B$7)</f>
        <v>0</v>
      </c>
      <c r="E2" s="43" t="s">
        <v>712</v>
      </c>
      <c r="F2" s="46">
        <v>48</v>
      </c>
      <c r="G2" s="47">
        <v>1</v>
      </c>
      <c r="H2" s="43" t="s">
        <v>713</v>
      </c>
    </row>
    <row r="3" spans="1:8" x14ac:dyDescent="0.3">
      <c r="A3" s="43" t="s">
        <v>80</v>
      </c>
      <c r="B3" s="44">
        <f>COUNTIFS('Master Competitor Matrix'!K:K, "Include", 'Master Competitor Matrix'!BD:BD, A3)</f>
        <v>2</v>
      </c>
      <c r="C3" s="45">
        <f t="shared" si="0"/>
        <v>4.5454545454545456E-2</v>
      </c>
      <c r="E3" s="43" t="s">
        <v>714</v>
      </c>
      <c r="F3" s="46">
        <v>44</v>
      </c>
      <c r="G3" s="47">
        <v>0.91669999999999996</v>
      </c>
      <c r="H3" s="43" t="s">
        <v>715</v>
      </c>
    </row>
    <row r="4" spans="1:8" x14ac:dyDescent="0.3">
      <c r="A4" s="43" t="s">
        <v>97</v>
      </c>
      <c r="B4" s="44">
        <f>COUNTIFS('Master Competitor Matrix'!K:K, "Include", 'Master Competitor Matrix'!BD:BD, A4)</f>
        <v>11</v>
      </c>
      <c r="C4" s="45">
        <f t="shared" si="0"/>
        <v>0.25</v>
      </c>
      <c r="E4" s="43" t="s">
        <v>199</v>
      </c>
      <c r="F4" s="46">
        <v>2</v>
      </c>
      <c r="G4" s="47">
        <v>4.1700000000000001E-2</v>
      </c>
      <c r="H4" s="48" t="s">
        <v>716</v>
      </c>
    </row>
    <row r="5" spans="1:8" x14ac:dyDescent="0.3">
      <c r="A5" s="43" t="s">
        <v>119</v>
      </c>
      <c r="B5" s="44">
        <f>COUNTIFS('Master Competitor Matrix'!K:K, "Include", 'Master Competitor Matrix'!BD:BD, A5)</f>
        <v>26</v>
      </c>
      <c r="C5" s="45">
        <f t="shared" si="0"/>
        <v>0.59090909090909094</v>
      </c>
      <c r="E5" s="43" t="s">
        <v>717</v>
      </c>
      <c r="F5" s="46">
        <v>2</v>
      </c>
      <c r="G5" s="47">
        <v>4.1700000000000001E-2</v>
      </c>
      <c r="H5" s="48" t="s">
        <v>718</v>
      </c>
    </row>
    <row r="6" spans="1:8" x14ac:dyDescent="0.3">
      <c r="A6" s="43" t="s">
        <v>250</v>
      </c>
      <c r="B6" s="44">
        <f>COUNTIFS('Master Competitor Matrix'!K:K, "Include", 'Master Competitor Matrix'!BD:BD, A6)</f>
        <v>5</v>
      </c>
      <c r="C6" s="45">
        <f t="shared" si="0"/>
        <v>0.11363636363636363</v>
      </c>
    </row>
    <row r="7" spans="1:8" x14ac:dyDescent="0.3">
      <c r="A7" s="49" t="s">
        <v>719</v>
      </c>
      <c r="B7" s="50">
        <f>COUNTIF('Master Competitor Matrix'!K:K, "Include")</f>
        <v>44</v>
      </c>
      <c r="C7" s="51">
        <f t="shared" si="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 Competitor Matrix</vt:lpstr>
      <vt:lpstr>Project Tracker</vt:lpstr>
      <vt:lpstr>Daily Reporting</vt:lpstr>
      <vt:lpstr>Hold for Review</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2026-09-10T16:01:47Z</dcterms:modified>
</cp:coreProperties>
</file>